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s" sheetId="1" state="visible" r:id="rId3"/>
    <sheet name="Dashboard" sheetId="2" state="visible" r:id="rId4"/>
    <sheet name="Settings" sheetId="3" state="visible" r:id="rId5"/>
    <sheet name="Guide" sheetId="4" state="visible" r:id="rId6"/>
  </sheets>
  <definedNames>
    <definedName function="false" hidden="true" localSheetId="0" name="_xlnm._FilterDatabase" vbProcedure="false">Tickets!$A$4:$K$104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Breached if (Resolved Time, or now if still open) is later than SLA Due.</t>
        </r>
      </text>
    </comment>
  </commentList>
</comments>
</file>

<file path=xl/sharedStrings.xml><?xml version="1.0" encoding="utf-8"?>
<sst xmlns="http://schemas.openxmlformats.org/spreadsheetml/2006/main" count="189" uniqueCount="166">
  <si>
    <t xml:space="preserve">IT Help Desk Ticket Tracker</t>
  </si>
  <si>
    <t xml:space="preserve">Fill the yellow columns (A-G). White columns calculate automatically. Dates: dd-mm-yyyy hh:mm. Leave Resolved Time empty until fixed.</t>
  </si>
  <si>
    <t xml:space="preserve">Ticket ID</t>
  </si>
  <si>
    <t xml:space="preserve">Title</t>
  </si>
  <si>
    <t xml:space="preserve">Priority</t>
  </si>
  <si>
    <t xml:space="preserve">Status</t>
  </si>
  <si>
    <t xml:space="preserve">Assigned To</t>
  </si>
  <si>
    <t xml:space="preserve">Created Time</t>
  </si>
  <si>
    <t xml:space="preserve">Resolved Time</t>
  </si>
  <si>
    <t xml:space="preserve">SLA Hours</t>
  </si>
  <si>
    <t xml:space="preserve">SLA Due</t>
  </si>
  <si>
    <t xml:space="preserve">Time Taken (hrs)</t>
  </si>
  <si>
    <t xml:space="preserve">SLA Breach?</t>
  </si>
  <si>
    <t xml:space="preserve">INC-0001</t>
  </si>
  <si>
    <t xml:space="preserve">VPN not connecting for finance team</t>
  </si>
  <si>
    <t xml:space="preserve">P1</t>
  </si>
  <si>
    <t xml:space="preserve">Resolved</t>
  </si>
  <si>
    <t xml:space="preserve">Asha</t>
  </si>
  <si>
    <t xml:space="preserve">INC-0002</t>
  </si>
  <si>
    <t xml:space="preserve">Outlook keeps asking for password</t>
  </si>
  <si>
    <t xml:space="preserve">P3</t>
  </si>
  <si>
    <t xml:space="preserve">Meera</t>
  </si>
  <si>
    <t xml:space="preserve">INC-0003</t>
  </si>
  <si>
    <t xml:space="preserve">Request: install VS Code for new joiner</t>
  </si>
  <si>
    <t xml:space="preserve">P4</t>
  </si>
  <si>
    <t xml:space="preserve">Kiran</t>
  </si>
  <si>
    <t xml:space="preserve">INC-0004</t>
  </si>
  <si>
    <t xml:space="preserve">Website returns HTTP 503</t>
  </si>
  <si>
    <t xml:space="preserve">INC-0005</t>
  </si>
  <si>
    <t xml:space="preserve">Laptop cannot reach internal DNS</t>
  </si>
  <si>
    <t xml:space="preserve">P2</t>
  </si>
  <si>
    <t xml:space="preserve">In Progress</t>
  </si>
  <si>
    <t xml:space="preserve">Ravi</t>
  </si>
  <si>
    <t xml:space="preserve">INC-0006</t>
  </si>
  <si>
    <t xml:space="preserve">Printer offline on floor 2</t>
  </si>
  <si>
    <t xml:space="preserve">Open</t>
  </si>
  <si>
    <t xml:space="preserve">INC-0007</t>
  </si>
  <si>
    <t xml:space="preserve">INC-0008</t>
  </si>
  <si>
    <t xml:space="preserve">INC-0009</t>
  </si>
  <si>
    <t xml:space="preserve">INC-0010</t>
  </si>
  <si>
    <t xml:space="preserve">INC-0011</t>
  </si>
  <si>
    <t xml:space="preserve">INC-0012</t>
  </si>
  <si>
    <t xml:space="preserve">INC-0013</t>
  </si>
  <si>
    <t xml:space="preserve">INC-0014</t>
  </si>
  <si>
    <t xml:space="preserve">INC-0015</t>
  </si>
  <si>
    <t xml:space="preserve">INC-0016</t>
  </si>
  <si>
    <t xml:space="preserve">INC-0017</t>
  </si>
  <si>
    <t xml:space="preserve">INC-0018</t>
  </si>
  <si>
    <t xml:space="preserve">INC-0019</t>
  </si>
  <si>
    <t xml:space="preserve">INC-0020</t>
  </si>
  <si>
    <t xml:space="preserve">INC-0021</t>
  </si>
  <si>
    <t xml:space="preserve">INC-0022</t>
  </si>
  <si>
    <t xml:space="preserve">INC-0023</t>
  </si>
  <si>
    <t xml:space="preserve">INC-0024</t>
  </si>
  <si>
    <t xml:space="preserve">INC-0025</t>
  </si>
  <si>
    <t xml:space="preserve">INC-0026</t>
  </si>
  <si>
    <t xml:space="preserve">INC-0027</t>
  </si>
  <si>
    <t xml:space="preserve">INC-0028</t>
  </si>
  <si>
    <t xml:space="preserve">INC-0029</t>
  </si>
  <si>
    <t xml:space="preserve">INC-0030</t>
  </si>
  <si>
    <t xml:space="preserve">INC-0031</t>
  </si>
  <si>
    <t xml:space="preserve">INC-0032</t>
  </si>
  <si>
    <t xml:space="preserve">INC-0033</t>
  </si>
  <si>
    <t xml:space="preserve">INC-0034</t>
  </si>
  <si>
    <t xml:space="preserve">INC-0035</t>
  </si>
  <si>
    <t xml:space="preserve">INC-0036</t>
  </si>
  <si>
    <t xml:space="preserve">INC-0037</t>
  </si>
  <si>
    <t xml:space="preserve">INC-0038</t>
  </si>
  <si>
    <t xml:space="preserve">INC-0039</t>
  </si>
  <si>
    <t xml:space="preserve">INC-0040</t>
  </si>
  <si>
    <t xml:space="preserve">INC-0041</t>
  </si>
  <si>
    <t xml:space="preserve">INC-0042</t>
  </si>
  <si>
    <t xml:space="preserve">INC-0043</t>
  </si>
  <si>
    <t xml:space="preserve">INC-0044</t>
  </si>
  <si>
    <t xml:space="preserve">INC-0045</t>
  </si>
  <si>
    <t xml:space="preserve">INC-0046</t>
  </si>
  <si>
    <t xml:space="preserve">INC-0047</t>
  </si>
  <si>
    <t xml:space="preserve">INC-0048</t>
  </si>
  <si>
    <t xml:space="preserve">INC-0049</t>
  </si>
  <si>
    <t xml:space="preserve">INC-0050</t>
  </si>
  <si>
    <t xml:space="preserve">INC-0051</t>
  </si>
  <si>
    <t xml:space="preserve">INC-0052</t>
  </si>
  <si>
    <t xml:space="preserve">INC-0053</t>
  </si>
  <si>
    <t xml:space="preserve">INC-0054</t>
  </si>
  <si>
    <t xml:space="preserve">INC-0055</t>
  </si>
  <si>
    <t xml:space="preserve">INC-0056</t>
  </si>
  <si>
    <t xml:space="preserve">INC-0057</t>
  </si>
  <si>
    <t xml:space="preserve">INC-0058</t>
  </si>
  <si>
    <t xml:space="preserve">INC-0059</t>
  </si>
  <si>
    <t xml:space="preserve">INC-0060</t>
  </si>
  <si>
    <t xml:space="preserve">INC-0061</t>
  </si>
  <si>
    <t xml:space="preserve">INC-0062</t>
  </si>
  <si>
    <t xml:space="preserve">INC-0063</t>
  </si>
  <si>
    <t xml:space="preserve">INC-0064</t>
  </si>
  <si>
    <t xml:space="preserve">INC-0065</t>
  </si>
  <si>
    <t xml:space="preserve">INC-0066</t>
  </si>
  <si>
    <t xml:space="preserve">INC-0067</t>
  </si>
  <si>
    <t xml:space="preserve">INC-0068</t>
  </si>
  <si>
    <t xml:space="preserve">INC-0069</t>
  </si>
  <si>
    <t xml:space="preserve">INC-0070</t>
  </si>
  <si>
    <t xml:space="preserve">INC-0071</t>
  </si>
  <si>
    <t xml:space="preserve">INC-0072</t>
  </si>
  <si>
    <t xml:space="preserve">INC-0073</t>
  </si>
  <si>
    <t xml:space="preserve">INC-0074</t>
  </si>
  <si>
    <t xml:space="preserve">INC-0075</t>
  </si>
  <si>
    <t xml:space="preserve">INC-0076</t>
  </si>
  <si>
    <t xml:space="preserve">INC-0077</t>
  </si>
  <si>
    <t xml:space="preserve">INC-0078</t>
  </si>
  <si>
    <t xml:space="preserve">INC-0079</t>
  </si>
  <si>
    <t xml:space="preserve">INC-0080</t>
  </si>
  <si>
    <t xml:space="preserve">INC-0081</t>
  </si>
  <si>
    <t xml:space="preserve">INC-0082</t>
  </si>
  <si>
    <t xml:space="preserve">INC-0083</t>
  </si>
  <si>
    <t xml:space="preserve">INC-0084</t>
  </si>
  <si>
    <t xml:space="preserve">INC-0085</t>
  </si>
  <si>
    <t xml:space="preserve">INC-0086</t>
  </si>
  <si>
    <t xml:space="preserve">INC-0087</t>
  </si>
  <si>
    <t xml:space="preserve">INC-0088</t>
  </si>
  <si>
    <t xml:space="preserve">INC-0089</t>
  </si>
  <si>
    <t xml:space="preserve">INC-0090</t>
  </si>
  <si>
    <t xml:space="preserve">INC-0091</t>
  </si>
  <si>
    <t xml:space="preserve">INC-0092</t>
  </si>
  <si>
    <t xml:space="preserve">INC-0093</t>
  </si>
  <si>
    <t xml:space="preserve">INC-0094</t>
  </si>
  <si>
    <t xml:space="preserve">INC-0095</t>
  </si>
  <si>
    <t xml:space="preserve">INC-0096</t>
  </si>
  <si>
    <t xml:space="preserve">INC-0097</t>
  </si>
  <si>
    <t xml:space="preserve">INC-0098</t>
  </si>
  <si>
    <t xml:space="preserve">INC-0099</t>
  </si>
  <si>
    <t xml:space="preserve">INC-0100</t>
  </si>
  <si>
    <t xml:space="preserve">Help Desk Dashboard</t>
  </si>
  <si>
    <t xml:space="preserve">Total tickets</t>
  </si>
  <si>
    <t xml:space="preserve">SLA breaches</t>
  </si>
  <si>
    <t xml:space="preserve">SLA compliance %</t>
  </si>
  <si>
    <t xml:space="preserve">Tickets</t>
  </si>
  <si>
    <t xml:space="preserve">Breached</t>
  </si>
  <si>
    <t xml:space="preserve">Avg resolution (hrs)</t>
  </si>
  <si>
    <t xml:space="preserve">SLA target (hrs)</t>
  </si>
  <si>
    <t xml:space="preserve">Agent</t>
  </si>
  <si>
    <t xml:space="preserve">Active tickets</t>
  </si>
  <si>
    <t xml:space="preserve">SLA settings (edit the blue cells)</t>
  </si>
  <si>
    <t xml:space="preserve">Resolve within (hours)</t>
  </si>
  <si>
    <t xml:space="preserve">Meaning</t>
  </si>
  <si>
    <t xml:space="preserve">Critical outage</t>
  </si>
  <si>
    <t xml:space="preserve">Major impact</t>
  </si>
  <si>
    <t xml:space="preserve">Minor issue</t>
  </si>
  <si>
    <t xml:space="preserve">Request / low impact</t>
  </si>
  <si>
    <t xml:space="preserve">Assumption: SLA hours are typical sample targets I chose for practice, not from a real company.</t>
  </si>
  <si>
    <t xml:space="preserve">Agents</t>
  </si>
  <si>
    <t xml:space="preserve">How this project works</t>
  </si>
  <si>
    <t xml:space="preserve">1. Add a ticket in the Tickets sheet: ID, title, priority, status, assignee, created time.</t>
  </si>
  <si>
    <t xml:space="preserve">2. When fixed, set Status to Resolved and type the Resolved Time. The SLA flag updates by itself.</t>
  </si>
  <si>
    <t xml:space="preserve">3. Check the Dashboard for open tickets, breaches and average resolution time.</t>
  </si>
  <si>
    <t xml:space="preserve">Formulas to explain in an interview</t>
  </si>
  <si>
    <t xml:space="preserve">SLA Hours: INDEX/MATCH looks up the priority in Settings (P1 = 1 hour).</t>
  </si>
  <si>
    <t xml:space="preserve">SLA Due: Created Time + SLA Hours / 24 (Excel stores one day as 1).</t>
  </si>
  <si>
    <t xml:space="preserve">Time Taken: (Resolved Time, or NOW() if open - Created Time) x 24 hours.</t>
  </si>
  <si>
    <t xml:space="preserve">SLA Breach?: Breached if the end time is later than SLA Due.</t>
  </si>
  <si>
    <t xml:space="preserve">SQL practice (same columns as a database table named tickets)</t>
  </si>
  <si>
    <t xml:space="preserve">SELECT * FROM tickets WHERE status &lt;&gt; 'Resolved' AND priority = 'P1';</t>
  </si>
  <si>
    <t xml:space="preserve">SELECT priority, COUNT(*) FROM tickets GROUP BY priority;</t>
  </si>
  <si>
    <t xml:space="preserve">SELECT assigned_to, COUNT(*) FROM tickets WHERE status &lt;&gt; 'Resolved' GROUP BY assigned_to;</t>
  </si>
  <si>
    <t xml:space="preserve">SELECT priority, AVG(time_taken_hrs) FROM tickets WHERE status = 'Resolved' GROUP BY priority;</t>
  </si>
  <si>
    <t xml:space="preserve">Resume line</t>
  </si>
  <si>
    <t xml:space="preserve">Built an IT help desk ticket tracker in Excel with P1-P4 priorities, status workflow, assignment, and automated SLA breach detection with a reporting dashboard.</t>
  </si>
  <si>
    <t xml:space="preserve">Note: Open tickets use NOW(), so their SLA status changes as time passes. The 6 rows are sample data; replace them with your own practice tickets.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</si>
</sst>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\ hh:mm"/>
    <numFmt numFmtId="166" formatCode="General"/>
    <numFmt numFmtId="167" formatCode="0.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D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DE4E4"/>
          <bgColor rgb="FF000000"/>
        </patternFill>
      </fill>
    </dxf>
    <dxf>
      <fill>
        <patternFill patternType="solid">
          <fgColor rgb="FF1B7F4B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DE4E4"/>
        </patternFill>
      </fill>
    </dxf>
    <dxf>
      <font>
        <name val="Arial"/>
        <charset val="1"/>
        <family val="0"/>
        <color rgb="FF1B7F4B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4B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7" min="6" style="0" width="17"/>
    <col collapsed="false" customWidth="true" hidden="false" outlineLevel="0" max="8" min="8" style="0" width="10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5" t="n">
        <v>46317.375</v>
      </c>
      <c r="G5" s="5" t="n">
        <v>46317.4027777778</v>
      </c>
      <c r="H5" s="6" t="n">
        <f aca="false">IF(C5="","",INDEX(Settings!$B$4:$B$7,MATCH(C5,Settings!$A$4:$A$7,0)))</f>
        <v>1</v>
      </c>
      <c r="I5" s="7" t="n">
        <f aca="false">IF(OR(F5="",H5=""),"",F5+H5/24)</f>
        <v>46317.4166666667</v>
      </c>
      <c r="J5" s="8" t="n">
        <f aca="true">IF(F5="","",ROUND((IF(G5&lt;&gt;"",G5,NOW())-F5)*24,1))</f>
        <v>0.7</v>
      </c>
      <c r="K5" s="9" t="str">
        <f aca="true">IF(I5="","",IF(IF(G5&lt;&gt;"",G5,NOW())&gt;I5,"Breached","Within SLA"))</f>
        <v>Within SLA</v>
      </c>
    </row>
    <row r="6" customFormat="false" ht="15" hidden="false" customHeight="false" outlineLevel="0" collapsed="false">
      <c r="A6" s="4" t="s">
        <v>18</v>
      </c>
      <c r="B6" s="4" t="s">
        <v>19</v>
      </c>
      <c r="C6" s="4" t="s">
        <v>20</v>
      </c>
      <c r="D6" s="4" t="s">
        <v>16</v>
      </c>
      <c r="E6" s="4" t="s">
        <v>21</v>
      </c>
      <c r="F6" s="5" t="n">
        <v>46317.4270833333</v>
      </c>
      <c r="G6" s="5" t="n">
        <v>46317.8333333333</v>
      </c>
      <c r="H6" s="6" t="n">
        <f aca="false">IF(C6="","",INDEX(Settings!$B$4:$B$7,MATCH(C6,Settings!$A$4:$A$7,0)))</f>
        <v>8</v>
      </c>
      <c r="I6" s="7" t="n">
        <f aca="false">IF(OR(F6="",H6=""),"",F6+H6/24)</f>
        <v>46317.7604166667</v>
      </c>
      <c r="J6" s="8" t="n">
        <f aca="true">IF(F6="","",ROUND((IF(G6&lt;&gt;"",G6,NOW())-F6)*24,1))</f>
        <v>9.8</v>
      </c>
      <c r="K6" s="9" t="str">
        <f aca="true">IF(I6="","",IF(IF(G6&lt;&gt;"",G6,NOW())&gt;I6,"Breached","Within SLA"))</f>
        <v>Breached</v>
      </c>
    </row>
    <row r="7" customFormat="false" ht="15" hidden="false" customHeight="false" outlineLevel="0" collapsed="false">
      <c r="A7" s="4" t="s">
        <v>22</v>
      </c>
      <c r="B7" s="4" t="s">
        <v>23</v>
      </c>
      <c r="C7" s="4" t="s">
        <v>24</v>
      </c>
      <c r="D7" s="4" t="s">
        <v>16</v>
      </c>
      <c r="E7" s="4" t="s">
        <v>25</v>
      </c>
      <c r="F7" s="5" t="n">
        <v>46317.4583333333</v>
      </c>
      <c r="G7" s="5" t="n">
        <v>46318.3958333333</v>
      </c>
      <c r="H7" s="6" t="n">
        <f aca="false">IF(C7="","",INDEX(Settings!$B$4:$B$7,MATCH(C7,Settings!$A$4:$A$7,0)))</f>
        <v>24</v>
      </c>
      <c r="I7" s="7" t="n">
        <f aca="false">IF(OR(F7="",H7=""),"",F7+H7/24)</f>
        <v>46318.4583333333</v>
      </c>
      <c r="J7" s="8" t="n">
        <f aca="true">IF(F7="","",ROUND((IF(G7&lt;&gt;"",G7,NOW())-F7)*24,1))</f>
        <v>22.5</v>
      </c>
      <c r="K7" s="9" t="str">
        <f aca="true">IF(I7="","",IF(IF(G7&lt;&gt;"",G7,NOW())&gt;I7,"Breached","Within SLA"))</f>
        <v>Within SLA</v>
      </c>
    </row>
    <row r="8" customFormat="false" ht="15" hidden="false" customHeight="false" outlineLevel="0" collapsed="false">
      <c r="A8" s="4" t="s">
        <v>26</v>
      </c>
      <c r="B8" s="4" t="s">
        <v>27</v>
      </c>
      <c r="C8" s="4" t="s">
        <v>15</v>
      </c>
      <c r="D8" s="4" t="s">
        <v>16</v>
      </c>
      <c r="E8" s="4" t="s">
        <v>17</v>
      </c>
      <c r="F8" s="5" t="n">
        <v>46318.5833333333</v>
      </c>
      <c r="G8" s="5" t="n">
        <v>46318.6875</v>
      </c>
      <c r="H8" s="6" t="n">
        <f aca="false">IF(C8="","",INDEX(Settings!$B$4:$B$7,MATCH(C8,Settings!$A$4:$A$7,0)))</f>
        <v>1</v>
      </c>
      <c r="I8" s="7" t="n">
        <f aca="false">IF(OR(F8="",H8=""),"",F8+H8/24)</f>
        <v>46318.625</v>
      </c>
      <c r="J8" s="8" t="n">
        <f aca="true">IF(F8="","",ROUND((IF(G8&lt;&gt;"",G8,NOW())-F8)*24,1))</f>
        <v>2.5</v>
      </c>
      <c r="K8" s="9" t="str">
        <f aca="true">IF(I8="","",IF(IF(G8&lt;&gt;"",G8,NOW())&gt;I8,"Breached","Within SLA"))</f>
        <v>Breached</v>
      </c>
    </row>
    <row r="9" customFormat="false" ht="15" hidden="false" customHeight="false" outlineLevel="0" collapsed="false">
      <c r="A9" s="4" t="s">
        <v>28</v>
      </c>
      <c r="B9" s="4" t="s">
        <v>29</v>
      </c>
      <c r="C9" s="4" t="s">
        <v>30</v>
      </c>
      <c r="D9" s="4" t="s">
        <v>31</v>
      </c>
      <c r="E9" s="4" t="s">
        <v>32</v>
      </c>
      <c r="F9" s="5" t="n">
        <v>46319.3541666667</v>
      </c>
      <c r="G9" s="5"/>
      <c r="H9" s="6" t="n">
        <f aca="false">IF(C9="","",INDEX(Settings!$B$4:$B$7,MATCH(C9,Settings!$A$4:$A$7,0)))</f>
        <v>4</v>
      </c>
      <c r="I9" s="7" t="n">
        <f aca="false">IF(OR(F9="",H9=""),"",F9+H9/24)</f>
        <v>46319.5208333333</v>
      </c>
      <c r="J9" s="8" t="n">
        <f aca="true">IF(F9="","",ROUND((IF(G9&lt;&gt;"",G9,NOW())-F9)*24,1))</f>
        <v>5.6</v>
      </c>
      <c r="K9" s="9" t="str">
        <f aca="true">IF(I9="","",IF(IF(G9&lt;&gt;"",G9,NOW())&gt;I9,"Breached","Within SLA"))</f>
        <v>Breached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4" t="s">
        <v>20</v>
      </c>
      <c r="D10" s="4" t="s">
        <v>35</v>
      </c>
      <c r="E10" s="4"/>
      <c r="F10" s="5" t="n">
        <v>46319.375</v>
      </c>
      <c r="G10" s="5"/>
      <c r="H10" s="6" t="n">
        <f aca="false">IF(C10="","",INDEX(Settings!$B$4:$B$7,MATCH(C10,Settings!$A$4:$A$7,0)))</f>
        <v>8</v>
      </c>
      <c r="I10" s="7" t="n">
        <f aca="false">IF(OR(F10="",H10=""),"",F10+H10/24)</f>
        <v>46319.7083333333</v>
      </c>
      <c r="J10" s="8" t="n">
        <f aca="true">IF(F10="","",ROUND((IF(G10&lt;&gt;"",G10,NOW())-F10)*24,1))</f>
        <v>5.1</v>
      </c>
      <c r="K10" s="9" t="str">
        <f aca="true">IF(I10="","",IF(IF(G10&lt;&gt;"",G10,NOW())&gt;I10,"Breached","Within SLA"))</f>
        <v>Within SLA</v>
      </c>
    </row>
    <row r="11" customFormat="false" ht="15" hidden="false" customHeight="false" outlineLevel="0" collapsed="false">
      <c r="A11" s="4" t="s">
        <v>36</v>
      </c>
      <c r="B11" s="4"/>
      <c r="C11" s="4"/>
      <c r="D11" s="4"/>
      <c r="E11" s="4"/>
      <c r="F11" s="5"/>
      <c r="G11" s="5"/>
      <c r="H11" s="6" t="str">
        <f aca="false">IF(C11="","",INDEX(Settings!$B$4:$B$7,MATCH(C11,Settings!$A$4:$A$7,0)))</f>
        <v/>
      </c>
      <c r="I11" s="7" t="str">
        <f aca="false">IF(OR(F11="",H11=""),"",F11+H11/24)</f>
        <v/>
      </c>
      <c r="J11" s="8" t="str">
        <f aca="true">IF(F11="","",ROUND((IF(G11&lt;&gt;"",G11,NOW())-F11)*24,1))</f>
        <v/>
      </c>
      <c r="K11" s="9" t="str">
        <f aca="true">IF(I11="","",IF(IF(G11&lt;&gt;"",G11,NOW())&gt;I11,"Breached","Within SLA"))</f>
        <v/>
      </c>
    </row>
    <row r="12" customFormat="false" ht="15" hidden="false" customHeight="false" outlineLevel="0" collapsed="false">
      <c r="A12" s="4" t="s">
        <v>37</v>
      </c>
      <c r="B12" s="4"/>
      <c r="C12" s="4"/>
      <c r="D12" s="4"/>
      <c r="E12" s="4"/>
      <c r="F12" s="5"/>
      <c r="G12" s="5"/>
      <c r="H12" s="6" t="str">
        <f aca="false">IF(C12="","",INDEX(Settings!$B$4:$B$7,MATCH(C12,Settings!$A$4:$A$7,0)))</f>
        <v/>
      </c>
      <c r="I12" s="7" t="str">
        <f aca="false">IF(OR(F12="",H12=""),"",F12+H12/24)</f>
        <v/>
      </c>
      <c r="J12" s="8" t="str">
        <f aca="true">IF(F12="","",ROUND((IF(G12&lt;&gt;"",G12,NOW())-F12)*24,1))</f>
        <v/>
      </c>
      <c r="K12" s="9" t="str">
        <f aca="true">IF(I12="","",IF(IF(G12&lt;&gt;"",G12,NOW())&gt;I12,"Breached","Within SLA"))</f>
        <v/>
      </c>
    </row>
    <row r="13" customFormat="false" ht="15" hidden="false" customHeight="false" outlineLevel="0" collapsed="false">
      <c r="A13" s="4" t="s">
        <v>38</v>
      </c>
      <c r="B13" s="4"/>
      <c r="C13" s="4"/>
      <c r="D13" s="4"/>
      <c r="E13" s="4"/>
      <c r="F13" s="5"/>
      <c r="G13" s="5"/>
      <c r="H13" s="6" t="str">
        <f aca="false">IF(C13="","",INDEX(Settings!$B$4:$B$7,MATCH(C13,Settings!$A$4:$A$7,0)))</f>
        <v/>
      </c>
      <c r="I13" s="7" t="str">
        <f aca="false">IF(OR(F13="",H13=""),"",F13+H13/24)</f>
        <v/>
      </c>
      <c r="J13" s="8" t="str">
        <f aca="true">IF(F13="","",ROUND((IF(G13&lt;&gt;"",G13,NOW())-F13)*24,1))</f>
        <v/>
      </c>
      <c r="K13" s="9" t="str">
        <f aca="true">IF(I13="","",IF(IF(G13&lt;&gt;"",G13,NOW())&gt;I13,"Breached","Within SLA"))</f>
        <v/>
      </c>
    </row>
    <row r="14" customFormat="false" ht="15" hidden="false" customHeight="false" outlineLevel="0" collapsed="false">
      <c r="A14" s="4" t="s">
        <v>39</v>
      </c>
      <c r="B14" s="4"/>
      <c r="C14" s="4"/>
      <c r="D14" s="4"/>
      <c r="E14" s="4"/>
      <c r="F14" s="5"/>
      <c r="G14" s="5"/>
      <c r="H14" s="6" t="str">
        <f aca="false">IF(C14="","",INDEX(Settings!$B$4:$B$7,MATCH(C14,Settings!$A$4:$A$7,0)))</f>
        <v/>
      </c>
      <c r="I14" s="7" t="str">
        <f aca="false">IF(OR(F14="",H14=""),"",F14+H14/24)</f>
        <v/>
      </c>
      <c r="J14" s="8" t="str">
        <f aca="true">IF(F14="","",ROUND((IF(G14&lt;&gt;"",G14,NOW())-F14)*24,1))</f>
        <v/>
      </c>
      <c r="K14" s="9" t="str">
        <f aca="true">IF(I14="","",IF(IF(G14&lt;&gt;"",G14,NOW())&gt;I14,"Breached","Within SLA"))</f>
        <v/>
      </c>
    </row>
    <row r="15" customFormat="false" ht="15" hidden="false" customHeight="false" outlineLevel="0" collapsed="false">
      <c r="A15" s="4" t="s">
        <v>40</v>
      </c>
      <c r="B15" s="4"/>
      <c r="C15" s="4"/>
      <c r="D15" s="4"/>
      <c r="E15" s="4"/>
      <c r="F15" s="5"/>
      <c r="G15" s="5"/>
      <c r="H15" s="6" t="str">
        <f aca="false">IF(C15="","",INDEX(Settings!$B$4:$B$7,MATCH(C15,Settings!$A$4:$A$7,0)))</f>
        <v/>
      </c>
      <c r="I15" s="7" t="str">
        <f aca="false">IF(OR(F15="",H15=""),"",F15+H15/24)</f>
        <v/>
      </c>
      <c r="J15" s="8" t="str">
        <f aca="true">IF(F15="","",ROUND((IF(G15&lt;&gt;"",G15,NOW())-F15)*24,1))</f>
        <v/>
      </c>
      <c r="K15" s="9" t="str">
        <f aca="true">IF(I15="","",IF(IF(G15&lt;&gt;"",G15,NOW())&gt;I15,"Breached","Within SLA"))</f>
        <v/>
      </c>
    </row>
    <row r="16" customFormat="false" ht="15" hidden="false" customHeight="false" outlineLevel="0" collapsed="false">
      <c r="A16" s="4" t="s">
        <v>41</v>
      </c>
      <c r="B16" s="4"/>
      <c r="C16" s="4"/>
      <c r="D16" s="4"/>
      <c r="E16" s="4"/>
      <c r="F16" s="5"/>
      <c r="G16" s="5"/>
      <c r="H16" s="6" t="str">
        <f aca="false">IF(C16="","",INDEX(Settings!$B$4:$B$7,MATCH(C16,Settings!$A$4:$A$7,0)))</f>
        <v/>
      </c>
      <c r="I16" s="7" t="str">
        <f aca="false">IF(OR(F16="",H16=""),"",F16+H16/24)</f>
        <v/>
      </c>
      <c r="J16" s="8" t="str">
        <f aca="true">IF(F16="","",ROUND((IF(G16&lt;&gt;"",G16,NOW())-F16)*24,1))</f>
        <v/>
      </c>
      <c r="K16" s="9" t="str">
        <f aca="true">IF(I16="","",IF(IF(G16&lt;&gt;"",G16,NOW())&gt;I16,"Breached","Within SLA"))</f>
        <v/>
      </c>
    </row>
    <row r="17" customFormat="false" ht="15" hidden="false" customHeight="false" outlineLevel="0" collapsed="false">
      <c r="A17" s="4" t="s">
        <v>42</v>
      </c>
      <c r="B17" s="4"/>
      <c r="C17" s="4"/>
      <c r="D17" s="4"/>
      <c r="E17" s="4"/>
      <c r="F17" s="5"/>
      <c r="G17" s="5"/>
      <c r="H17" s="6" t="str">
        <f aca="false">IF(C17="","",INDEX(Settings!$B$4:$B$7,MATCH(C17,Settings!$A$4:$A$7,0)))</f>
        <v/>
      </c>
      <c r="I17" s="7" t="str">
        <f aca="false">IF(OR(F17="",H17=""),"",F17+H17/24)</f>
        <v/>
      </c>
      <c r="J17" s="8" t="str">
        <f aca="true">IF(F17="","",ROUND((IF(G17&lt;&gt;"",G17,NOW())-F17)*24,1))</f>
        <v/>
      </c>
      <c r="K17" s="9" t="str">
        <f aca="true">IF(I17="","",IF(IF(G17&lt;&gt;"",G17,NOW())&gt;I17,"Breached","Within SLA"))</f>
        <v/>
      </c>
    </row>
    <row r="18" customFormat="false" ht="15" hidden="false" customHeight="false" outlineLevel="0" collapsed="false">
      <c r="A18" s="4" t="s">
        <v>43</v>
      </c>
      <c r="B18" s="4"/>
      <c r="C18" s="4"/>
      <c r="D18" s="4"/>
      <c r="E18" s="4"/>
      <c r="F18" s="5"/>
      <c r="G18" s="5"/>
      <c r="H18" s="6" t="str">
        <f aca="false">IF(C18="","",INDEX(Settings!$B$4:$B$7,MATCH(C18,Settings!$A$4:$A$7,0)))</f>
        <v/>
      </c>
      <c r="I18" s="7" t="str">
        <f aca="false">IF(OR(F18="",H18=""),"",F18+H18/24)</f>
        <v/>
      </c>
      <c r="J18" s="8" t="str">
        <f aca="true">IF(F18="","",ROUND((IF(G18&lt;&gt;"",G18,NOW())-F18)*24,1))</f>
        <v/>
      </c>
      <c r="K18" s="9" t="str">
        <f aca="true">IF(I18="","",IF(IF(G18&lt;&gt;"",G18,NOW())&gt;I18,"Breached","Within SLA"))</f>
        <v/>
      </c>
    </row>
    <row r="19" customFormat="false" ht="15" hidden="false" customHeight="false" outlineLevel="0" collapsed="false">
      <c r="A19" s="4" t="s">
        <v>44</v>
      </c>
      <c r="B19" s="4"/>
      <c r="C19" s="4"/>
      <c r="D19" s="4"/>
      <c r="E19" s="4"/>
      <c r="F19" s="5"/>
      <c r="G19" s="5"/>
      <c r="H19" s="6" t="str">
        <f aca="false">IF(C19="","",INDEX(Settings!$B$4:$B$7,MATCH(C19,Settings!$A$4:$A$7,0)))</f>
        <v/>
      </c>
      <c r="I19" s="7" t="str">
        <f aca="false">IF(OR(F19="",H19=""),"",F19+H19/24)</f>
        <v/>
      </c>
      <c r="J19" s="8" t="str">
        <f aca="true">IF(F19="","",ROUND((IF(G19&lt;&gt;"",G19,NOW())-F19)*24,1))</f>
        <v/>
      </c>
      <c r="K19" s="9" t="str">
        <f aca="true">IF(I19="","",IF(IF(G19&lt;&gt;"",G19,NOW())&gt;I19,"Breached","Within SLA"))</f>
        <v/>
      </c>
    </row>
    <row r="20" customFormat="false" ht="15" hidden="false" customHeight="false" outlineLevel="0" collapsed="false">
      <c r="A20" s="4" t="s">
        <v>45</v>
      </c>
      <c r="B20" s="4"/>
      <c r="C20" s="4"/>
      <c r="D20" s="4"/>
      <c r="E20" s="4"/>
      <c r="F20" s="5"/>
      <c r="G20" s="5"/>
      <c r="H20" s="6" t="str">
        <f aca="false">IF(C20="","",INDEX(Settings!$B$4:$B$7,MATCH(C20,Settings!$A$4:$A$7,0)))</f>
        <v/>
      </c>
      <c r="I20" s="7" t="str">
        <f aca="false">IF(OR(F20="",H20=""),"",F20+H20/24)</f>
        <v/>
      </c>
      <c r="J20" s="8" t="str">
        <f aca="true">IF(F20="","",ROUND((IF(G20&lt;&gt;"",G20,NOW())-F20)*24,1))</f>
        <v/>
      </c>
      <c r="K20" s="9" t="str">
        <f aca="true">IF(I20="","",IF(IF(G20&lt;&gt;"",G20,NOW())&gt;I20,"Breached","Within SLA"))</f>
        <v/>
      </c>
    </row>
    <row r="21" customFormat="false" ht="15" hidden="false" customHeight="false" outlineLevel="0" collapsed="false">
      <c r="A21" s="4" t="s">
        <v>46</v>
      </c>
      <c r="B21" s="4"/>
      <c r="C21" s="4"/>
      <c r="D21" s="4"/>
      <c r="E21" s="4"/>
      <c r="F21" s="5"/>
      <c r="G21" s="5"/>
      <c r="H21" s="6" t="str">
        <f aca="false">IF(C21="","",INDEX(Settings!$B$4:$B$7,MATCH(C21,Settings!$A$4:$A$7,0)))</f>
        <v/>
      </c>
      <c r="I21" s="7" t="str">
        <f aca="false">IF(OR(F21="",H21=""),"",F21+H21/24)</f>
        <v/>
      </c>
      <c r="J21" s="8" t="str">
        <f aca="true">IF(F21="","",ROUND((IF(G21&lt;&gt;"",G21,NOW())-F21)*24,1))</f>
        <v/>
      </c>
      <c r="K21" s="9" t="str">
        <f aca="true">IF(I21="","",IF(IF(G21&lt;&gt;"",G21,NOW())&gt;I21,"Breached","Within SLA"))</f>
        <v/>
      </c>
    </row>
    <row r="22" customFormat="false" ht="15" hidden="false" customHeight="false" outlineLevel="0" collapsed="false">
      <c r="A22" s="4" t="s">
        <v>47</v>
      </c>
      <c r="B22" s="4"/>
      <c r="C22" s="4"/>
      <c r="D22" s="4"/>
      <c r="E22" s="4"/>
      <c r="F22" s="5"/>
      <c r="G22" s="5"/>
      <c r="H22" s="6" t="str">
        <f aca="false">IF(C22="","",INDEX(Settings!$B$4:$B$7,MATCH(C22,Settings!$A$4:$A$7,0)))</f>
        <v/>
      </c>
      <c r="I22" s="7" t="str">
        <f aca="false">IF(OR(F22="",H22=""),"",F22+H22/24)</f>
        <v/>
      </c>
      <c r="J22" s="8" t="str">
        <f aca="true">IF(F22="","",ROUND((IF(G22&lt;&gt;"",G22,NOW())-F22)*24,1))</f>
        <v/>
      </c>
      <c r="K22" s="9" t="str">
        <f aca="true">IF(I22="","",IF(IF(G22&lt;&gt;"",G22,NOW())&gt;I22,"Breached","Within SLA"))</f>
        <v/>
      </c>
    </row>
    <row r="23" customFormat="false" ht="15" hidden="false" customHeight="false" outlineLevel="0" collapsed="false">
      <c r="A23" s="4" t="s">
        <v>48</v>
      </c>
      <c r="B23" s="4"/>
      <c r="C23" s="4"/>
      <c r="D23" s="4"/>
      <c r="E23" s="4"/>
      <c r="F23" s="5"/>
      <c r="G23" s="5"/>
      <c r="H23" s="6" t="str">
        <f aca="false">IF(C23="","",INDEX(Settings!$B$4:$B$7,MATCH(C23,Settings!$A$4:$A$7,0)))</f>
        <v/>
      </c>
      <c r="I23" s="7" t="str">
        <f aca="false">IF(OR(F23="",H23=""),"",F23+H23/24)</f>
        <v/>
      </c>
      <c r="J23" s="8" t="str">
        <f aca="true">IF(F23="","",ROUND((IF(G23&lt;&gt;"",G23,NOW())-F23)*24,1))</f>
        <v/>
      </c>
      <c r="K23" s="9" t="str">
        <f aca="true">IF(I23="","",IF(IF(G23&lt;&gt;"",G23,NOW())&gt;I23,"Breached","Within SLA"))</f>
        <v/>
      </c>
    </row>
    <row r="24" customFormat="false" ht="15" hidden="false" customHeight="false" outlineLevel="0" collapsed="false">
      <c r="A24" s="4" t="s">
        <v>49</v>
      </c>
      <c r="B24" s="4"/>
      <c r="C24" s="4"/>
      <c r="D24" s="4"/>
      <c r="E24" s="4"/>
      <c r="F24" s="5"/>
      <c r="G24" s="5"/>
      <c r="H24" s="6" t="str">
        <f aca="false">IF(C24="","",INDEX(Settings!$B$4:$B$7,MATCH(C24,Settings!$A$4:$A$7,0)))</f>
        <v/>
      </c>
      <c r="I24" s="7" t="str">
        <f aca="false">IF(OR(F24="",H24=""),"",F24+H24/24)</f>
        <v/>
      </c>
      <c r="J24" s="8" t="str">
        <f aca="true">IF(F24="","",ROUND((IF(G24&lt;&gt;"",G24,NOW())-F24)*24,1))</f>
        <v/>
      </c>
      <c r="K24" s="9" t="str">
        <f aca="true">IF(I24="","",IF(IF(G24&lt;&gt;"",G24,NOW())&gt;I24,"Breached","Within SLA"))</f>
        <v/>
      </c>
    </row>
    <row r="25" customFormat="false" ht="15" hidden="false" customHeight="false" outlineLevel="0" collapsed="false">
      <c r="A25" s="4" t="s">
        <v>50</v>
      </c>
      <c r="B25" s="4"/>
      <c r="C25" s="4"/>
      <c r="D25" s="4"/>
      <c r="E25" s="4"/>
      <c r="F25" s="5"/>
      <c r="G25" s="5"/>
      <c r="H25" s="6" t="str">
        <f aca="false">IF(C25="","",INDEX(Settings!$B$4:$B$7,MATCH(C25,Settings!$A$4:$A$7,0)))</f>
        <v/>
      </c>
      <c r="I25" s="7" t="str">
        <f aca="false">IF(OR(F25="",H25=""),"",F25+H25/24)</f>
        <v/>
      </c>
      <c r="J25" s="8" t="str">
        <f aca="true">IF(F25="","",ROUND((IF(G25&lt;&gt;"",G25,NOW())-F25)*24,1))</f>
        <v/>
      </c>
      <c r="K25" s="9" t="str">
        <f aca="true">IF(I25="","",IF(IF(G25&lt;&gt;"",G25,NOW())&gt;I25,"Breached","Within SLA"))</f>
        <v/>
      </c>
    </row>
    <row r="26" customFormat="false" ht="15" hidden="false" customHeight="false" outlineLevel="0" collapsed="false">
      <c r="A26" s="4" t="s">
        <v>51</v>
      </c>
      <c r="B26" s="4"/>
      <c r="C26" s="4"/>
      <c r="D26" s="4"/>
      <c r="E26" s="4"/>
      <c r="F26" s="5"/>
      <c r="G26" s="5"/>
      <c r="H26" s="6" t="str">
        <f aca="false">IF(C26="","",INDEX(Settings!$B$4:$B$7,MATCH(C26,Settings!$A$4:$A$7,0)))</f>
        <v/>
      </c>
      <c r="I26" s="7" t="str">
        <f aca="false">IF(OR(F26="",H26=""),"",F26+H26/24)</f>
        <v/>
      </c>
      <c r="J26" s="8" t="str">
        <f aca="true">IF(F26="","",ROUND((IF(G26&lt;&gt;"",G26,NOW())-F26)*24,1))</f>
        <v/>
      </c>
      <c r="K26" s="9" t="str">
        <f aca="true">IF(I26="","",IF(IF(G26&lt;&gt;"",G26,NOW())&gt;I26,"Breached","Within SLA"))</f>
        <v/>
      </c>
    </row>
    <row r="27" customFormat="false" ht="15" hidden="false" customHeight="false" outlineLevel="0" collapsed="false">
      <c r="A27" s="4" t="s">
        <v>52</v>
      </c>
      <c r="B27" s="4"/>
      <c r="C27" s="4"/>
      <c r="D27" s="4"/>
      <c r="E27" s="4"/>
      <c r="F27" s="5"/>
      <c r="G27" s="5"/>
      <c r="H27" s="6" t="str">
        <f aca="false">IF(C27="","",INDEX(Settings!$B$4:$B$7,MATCH(C27,Settings!$A$4:$A$7,0)))</f>
        <v/>
      </c>
      <c r="I27" s="7" t="str">
        <f aca="false">IF(OR(F27="",H27=""),"",F27+H27/24)</f>
        <v/>
      </c>
      <c r="J27" s="8" t="str">
        <f aca="true">IF(F27="","",ROUND((IF(G27&lt;&gt;"",G27,NOW())-F27)*24,1))</f>
        <v/>
      </c>
      <c r="K27" s="9" t="str">
        <f aca="true">IF(I27="","",IF(IF(G27&lt;&gt;"",G27,NOW())&gt;I27,"Breached","Within SLA"))</f>
        <v/>
      </c>
    </row>
    <row r="28" customFormat="false" ht="15" hidden="false" customHeight="false" outlineLevel="0" collapsed="false">
      <c r="A28" s="4" t="s">
        <v>53</v>
      </c>
      <c r="B28" s="4"/>
      <c r="C28" s="4"/>
      <c r="D28" s="4"/>
      <c r="E28" s="4"/>
      <c r="F28" s="5"/>
      <c r="G28" s="5"/>
      <c r="H28" s="6" t="str">
        <f aca="false">IF(C28="","",INDEX(Settings!$B$4:$B$7,MATCH(C28,Settings!$A$4:$A$7,0)))</f>
        <v/>
      </c>
      <c r="I28" s="7" t="str">
        <f aca="false">IF(OR(F28="",H28=""),"",F28+H28/24)</f>
        <v/>
      </c>
      <c r="J28" s="8" t="str">
        <f aca="true">IF(F28="","",ROUND((IF(G28&lt;&gt;"",G28,NOW())-F28)*24,1))</f>
        <v/>
      </c>
      <c r="K28" s="9" t="str">
        <f aca="true">IF(I28="","",IF(IF(G28&lt;&gt;"",G28,NOW())&gt;I28,"Breached","Within SLA"))</f>
        <v/>
      </c>
    </row>
    <row r="29" customFormat="false" ht="15" hidden="false" customHeight="false" outlineLevel="0" collapsed="false">
      <c r="A29" s="4" t="s">
        <v>54</v>
      </c>
      <c r="B29" s="4"/>
      <c r="C29" s="4"/>
      <c r="D29" s="4"/>
      <c r="E29" s="4"/>
      <c r="F29" s="5"/>
      <c r="G29" s="5"/>
      <c r="H29" s="6" t="str">
        <f aca="false">IF(C29="","",INDEX(Settings!$B$4:$B$7,MATCH(C29,Settings!$A$4:$A$7,0)))</f>
        <v/>
      </c>
      <c r="I29" s="7" t="str">
        <f aca="false">IF(OR(F29="",H29=""),"",F29+H29/24)</f>
        <v/>
      </c>
      <c r="J29" s="8" t="str">
        <f aca="true">IF(F29="","",ROUND((IF(G29&lt;&gt;"",G29,NOW())-F29)*24,1))</f>
        <v/>
      </c>
      <c r="K29" s="9" t="str">
        <f aca="true">IF(I29="","",IF(IF(G29&lt;&gt;"",G29,NOW())&gt;I29,"Breached","Within SLA"))</f>
        <v/>
      </c>
    </row>
    <row r="30" customFormat="false" ht="15" hidden="false" customHeight="false" outlineLevel="0" collapsed="false">
      <c r="A30" s="4" t="s">
        <v>55</v>
      </c>
      <c r="B30" s="4"/>
      <c r="C30" s="4"/>
      <c r="D30" s="4"/>
      <c r="E30" s="4"/>
      <c r="F30" s="5"/>
      <c r="G30" s="5"/>
      <c r="H30" s="6" t="str">
        <f aca="false">IF(C30="","",INDEX(Settings!$B$4:$B$7,MATCH(C30,Settings!$A$4:$A$7,0)))</f>
        <v/>
      </c>
      <c r="I30" s="7" t="str">
        <f aca="false">IF(OR(F30="",H30=""),"",F30+H30/24)</f>
        <v/>
      </c>
      <c r="J30" s="8" t="str">
        <f aca="true">IF(F30="","",ROUND((IF(G30&lt;&gt;"",G30,NOW())-F30)*24,1))</f>
        <v/>
      </c>
      <c r="K30" s="9" t="str">
        <f aca="true">IF(I30="","",IF(IF(G30&lt;&gt;"",G30,NOW())&gt;I30,"Breached","Within SLA"))</f>
        <v/>
      </c>
    </row>
    <row r="31" customFormat="false" ht="15" hidden="false" customHeight="false" outlineLevel="0" collapsed="false">
      <c r="A31" s="4" t="s">
        <v>56</v>
      </c>
      <c r="B31" s="4"/>
      <c r="C31" s="4"/>
      <c r="D31" s="4"/>
      <c r="E31" s="4"/>
      <c r="F31" s="5"/>
      <c r="G31" s="5"/>
      <c r="H31" s="6" t="str">
        <f aca="false">IF(C31="","",INDEX(Settings!$B$4:$B$7,MATCH(C31,Settings!$A$4:$A$7,0)))</f>
        <v/>
      </c>
      <c r="I31" s="7" t="str">
        <f aca="false">IF(OR(F31="",H31=""),"",F31+H31/24)</f>
        <v/>
      </c>
      <c r="J31" s="8" t="str">
        <f aca="true">IF(F31="","",ROUND((IF(G31&lt;&gt;"",G31,NOW())-F31)*24,1))</f>
        <v/>
      </c>
      <c r="K31" s="9" t="str">
        <f aca="true">IF(I31="","",IF(IF(G31&lt;&gt;"",G31,NOW())&gt;I31,"Breached","Within SLA"))</f>
        <v/>
      </c>
    </row>
    <row r="32" customFormat="false" ht="15" hidden="false" customHeight="false" outlineLevel="0" collapsed="false">
      <c r="A32" s="4" t="s">
        <v>57</v>
      </c>
      <c r="B32" s="4"/>
      <c r="C32" s="4"/>
      <c r="D32" s="4"/>
      <c r="E32" s="4"/>
      <c r="F32" s="5"/>
      <c r="G32" s="5"/>
      <c r="H32" s="6" t="str">
        <f aca="false">IF(C32="","",INDEX(Settings!$B$4:$B$7,MATCH(C32,Settings!$A$4:$A$7,0)))</f>
        <v/>
      </c>
      <c r="I32" s="7" t="str">
        <f aca="false">IF(OR(F32="",H32=""),"",F32+H32/24)</f>
        <v/>
      </c>
      <c r="J32" s="8" t="str">
        <f aca="true">IF(F32="","",ROUND((IF(G32&lt;&gt;"",G32,NOW())-F32)*24,1))</f>
        <v/>
      </c>
      <c r="K32" s="9" t="str">
        <f aca="true">IF(I32="","",IF(IF(G32&lt;&gt;"",G32,NOW())&gt;I32,"Breached","Within SLA"))</f>
        <v/>
      </c>
    </row>
    <row r="33" customFormat="false" ht="15" hidden="false" customHeight="false" outlineLevel="0" collapsed="false">
      <c r="A33" s="4" t="s">
        <v>58</v>
      </c>
      <c r="B33" s="4"/>
      <c r="C33" s="4"/>
      <c r="D33" s="4"/>
      <c r="E33" s="4"/>
      <c r="F33" s="5"/>
      <c r="G33" s="5"/>
      <c r="H33" s="6" t="str">
        <f aca="false">IF(C33="","",INDEX(Settings!$B$4:$B$7,MATCH(C33,Settings!$A$4:$A$7,0)))</f>
        <v/>
      </c>
      <c r="I33" s="7" t="str">
        <f aca="false">IF(OR(F33="",H33=""),"",F33+H33/24)</f>
        <v/>
      </c>
      <c r="J33" s="8" t="str">
        <f aca="true">IF(F33="","",ROUND((IF(G33&lt;&gt;"",G33,NOW())-F33)*24,1))</f>
        <v/>
      </c>
      <c r="K33" s="9" t="str">
        <f aca="true">IF(I33="","",IF(IF(G33&lt;&gt;"",G33,NOW())&gt;I33,"Breached","Within SLA"))</f>
        <v/>
      </c>
    </row>
    <row r="34" customFormat="false" ht="15" hidden="false" customHeight="false" outlineLevel="0" collapsed="false">
      <c r="A34" s="4" t="s">
        <v>59</v>
      </c>
      <c r="B34" s="4"/>
      <c r="C34" s="4"/>
      <c r="D34" s="4"/>
      <c r="E34" s="4"/>
      <c r="F34" s="5"/>
      <c r="G34" s="5"/>
      <c r="H34" s="6" t="str">
        <f aca="false">IF(C34="","",INDEX(Settings!$B$4:$B$7,MATCH(C34,Settings!$A$4:$A$7,0)))</f>
        <v/>
      </c>
      <c r="I34" s="7" t="str">
        <f aca="false">IF(OR(F34="",H34=""),"",F34+H34/24)</f>
        <v/>
      </c>
      <c r="J34" s="8" t="str">
        <f aca="true">IF(F34="","",ROUND((IF(G34&lt;&gt;"",G34,NOW())-F34)*24,1))</f>
        <v/>
      </c>
      <c r="K34" s="9" t="str">
        <f aca="true">IF(I34="","",IF(IF(G34&lt;&gt;"",G34,NOW())&gt;I34,"Breached","Within SLA"))</f>
        <v/>
      </c>
    </row>
    <row r="35" customFormat="false" ht="15" hidden="false" customHeight="false" outlineLevel="0" collapsed="false">
      <c r="A35" s="4" t="s">
        <v>60</v>
      </c>
      <c r="B35" s="4"/>
      <c r="C35" s="4"/>
      <c r="D35" s="4"/>
      <c r="E35" s="4"/>
      <c r="F35" s="5"/>
      <c r="G35" s="5"/>
      <c r="H35" s="6" t="str">
        <f aca="false">IF(C35="","",INDEX(Settings!$B$4:$B$7,MATCH(C35,Settings!$A$4:$A$7,0)))</f>
        <v/>
      </c>
      <c r="I35" s="7" t="str">
        <f aca="false">IF(OR(F35="",H35=""),"",F35+H35/24)</f>
        <v/>
      </c>
      <c r="J35" s="8" t="str">
        <f aca="true">IF(F35="","",ROUND((IF(G35&lt;&gt;"",G35,NOW())-F35)*24,1))</f>
        <v/>
      </c>
      <c r="K35" s="9" t="str">
        <f aca="true">IF(I35="","",IF(IF(G35&lt;&gt;"",G35,NOW())&gt;I35,"Breached","Within SLA"))</f>
        <v/>
      </c>
    </row>
    <row r="36" customFormat="false" ht="15" hidden="false" customHeight="false" outlineLevel="0" collapsed="false">
      <c r="A36" s="4" t="s">
        <v>61</v>
      </c>
      <c r="B36" s="4"/>
      <c r="C36" s="4"/>
      <c r="D36" s="4"/>
      <c r="E36" s="4"/>
      <c r="F36" s="5"/>
      <c r="G36" s="5"/>
      <c r="H36" s="6" t="str">
        <f aca="false">IF(C36="","",INDEX(Settings!$B$4:$B$7,MATCH(C36,Settings!$A$4:$A$7,0)))</f>
        <v/>
      </c>
      <c r="I36" s="7" t="str">
        <f aca="false">IF(OR(F36="",H36=""),"",F36+H36/24)</f>
        <v/>
      </c>
      <c r="J36" s="8" t="str">
        <f aca="true">IF(F36="","",ROUND((IF(G36&lt;&gt;"",G36,NOW())-F36)*24,1))</f>
        <v/>
      </c>
      <c r="K36" s="9" t="str">
        <f aca="true">IF(I36="","",IF(IF(G36&lt;&gt;"",G36,NOW())&gt;I36,"Breached","Within SLA"))</f>
        <v/>
      </c>
    </row>
    <row r="37" customFormat="false" ht="15" hidden="false" customHeight="false" outlineLevel="0" collapsed="false">
      <c r="A37" s="4" t="s">
        <v>62</v>
      </c>
      <c r="B37" s="4"/>
      <c r="C37" s="4"/>
      <c r="D37" s="4"/>
      <c r="E37" s="4"/>
      <c r="F37" s="5"/>
      <c r="G37" s="5"/>
      <c r="H37" s="6" t="str">
        <f aca="false">IF(C37="","",INDEX(Settings!$B$4:$B$7,MATCH(C37,Settings!$A$4:$A$7,0)))</f>
        <v/>
      </c>
      <c r="I37" s="7" t="str">
        <f aca="false">IF(OR(F37="",H37=""),"",F37+H37/24)</f>
        <v/>
      </c>
      <c r="J37" s="8" t="str">
        <f aca="true">IF(F37="","",ROUND((IF(G37&lt;&gt;"",G37,NOW())-F37)*24,1))</f>
        <v/>
      </c>
      <c r="K37" s="9" t="str">
        <f aca="true">IF(I37="","",IF(IF(G37&lt;&gt;"",G37,NOW())&gt;I37,"Breached","Within SLA"))</f>
        <v/>
      </c>
    </row>
    <row r="38" customFormat="false" ht="15" hidden="false" customHeight="false" outlineLevel="0" collapsed="false">
      <c r="A38" s="4" t="s">
        <v>63</v>
      </c>
      <c r="B38" s="4"/>
      <c r="C38" s="4"/>
      <c r="D38" s="4"/>
      <c r="E38" s="4"/>
      <c r="F38" s="5"/>
      <c r="G38" s="5"/>
      <c r="H38" s="6" t="str">
        <f aca="false">IF(C38="","",INDEX(Settings!$B$4:$B$7,MATCH(C38,Settings!$A$4:$A$7,0)))</f>
        <v/>
      </c>
      <c r="I38" s="7" t="str">
        <f aca="false">IF(OR(F38="",H38=""),"",F38+H38/24)</f>
        <v/>
      </c>
      <c r="J38" s="8" t="str">
        <f aca="true">IF(F38="","",ROUND((IF(G38&lt;&gt;"",G38,NOW())-F38)*24,1))</f>
        <v/>
      </c>
      <c r="K38" s="9" t="str">
        <f aca="true">IF(I38="","",IF(IF(G38&lt;&gt;"",G38,NOW())&gt;I38,"Breached","Within SLA"))</f>
        <v/>
      </c>
    </row>
    <row r="39" customFormat="false" ht="15" hidden="false" customHeight="false" outlineLevel="0" collapsed="false">
      <c r="A39" s="4" t="s">
        <v>64</v>
      </c>
      <c r="B39" s="4"/>
      <c r="C39" s="4"/>
      <c r="D39" s="4"/>
      <c r="E39" s="4"/>
      <c r="F39" s="5"/>
      <c r="G39" s="5"/>
      <c r="H39" s="6" t="str">
        <f aca="false">IF(C39="","",INDEX(Settings!$B$4:$B$7,MATCH(C39,Settings!$A$4:$A$7,0)))</f>
        <v/>
      </c>
      <c r="I39" s="7" t="str">
        <f aca="false">IF(OR(F39="",H39=""),"",F39+H39/24)</f>
        <v/>
      </c>
      <c r="J39" s="8" t="str">
        <f aca="true">IF(F39="","",ROUND((IF(G39&lt;&gt;"",G39,NOW())-F39)*24,1))</f>
        <v/>
      </c>
      <c r="K39" s="9" t="str">
        <f aca="true">IF(I39="","",IF(IF(G39&lt;&gt;"",G39,NOW())&gt;I39,"Breached","Within SLA"))</f>
        <v/>
      </c>
    </row>
    <row r="40" customFormat="false" ht="15" hidden="false" customHeight="false" outlineLevel="0" collapsed="false">
      <c r="A40" s="4" t="s">
        <v>65</v>
      </c>
      <c r="B40" s="4"/>
      <c r="C40" s="4"/>
      <c r="D40" s="4"/>
      <c r="E40" s="4"/>
      <c r="F40" s="5"/>
      <c r="G40" s="5"/>
      <c r="H40" s="6" t="str">
        <f aca="false">IF(C40="","",INDEX(Settings!$B$4:$B$7,MATCH(C40,Settings!$A$4:$A$7,0)))</f>
        <v/>
      </c>
      <c r="I40" s="7" t="str">
        <f aca="false">IF(OR(F40="",H40=""),"",F40+H40/24)</f>
        <v/>
      </c>
      <c r="J40" s="8" t="str">
        <f aca="true">IF(F40="","",ROUND((IF(G40&lt;&gt;"",G40,NOW())-F40)*24,1))</f>
        <v/>
      </c>
      <c r="K40" s="9" t="str">
        <f aca="true">IF(I40="","",IF(IF(G40&lt;&gt;"",G40,NOW())&gt;I40,"Breached","Within SLA"))</f>
        <v/>
      </c>
    </row>
    <row r="41" customFormat="false" ht="15" hidden="false" customHeight="false" outlineLevel="0" collapsed="false">
      <c r="A41" s="4" t="s">
        <v>66</v>
      </c>
      <c r="B41" s="4"/>
      <c r="C41" s="4"/>
      <c r="D41" s="4"/>
      <c r="E41" s="4"/>
      <c r="F41" s="5"/>
      <c r="G41" s="5"/>
      <c r="H41" s="6" t="str">
        <f aca="false">IF(C41="","",INDEX(Settings!$B$4:$B$7,MATCH(C41,Settings!$A$4:$A$7,0)))</f>
        <v/>
      </c>
      <c r="I41" s="7" t="str">
        <f aca="false">IF(OR(F41="",H41=""),"",F41+H41/24)</f>
        <v/>
      </c>
      <c r="J41" s="8" t="str">
        <f aca="true">IF(F41="","",ROUND((IF(G41&lt;&gt;"",G41,NOW())-F41)*24,1))</f>
        <v/>
      </c>
      <c r="K41" s="9" t="str">
        <f aca="true">IF(I41="","",IF(IF(G41&lt;&gt;"",G41,NOW())&gt;I41,"Breached","Within SLA"))</f>
        <v/>
      </c>
    </row>
    <row r="42" customFormat="false" ht="15" hidden="false" customHeight="false" outlineLevel="0" collapsed="false">
      <c r="A42" s="4" t="s">
        <v>67</v>
      </c>
      <c r="B42" s="4"/>
      <c r="C42" s="4"/>
      <c r="D42" s="4"/>
      <c r="E42" s="4"/>
      <c r="F42" s="5"/>
      <c r="G42" s="5"/>
      <c r="H42" s="6" t="str">
        <f aca="false">IF(C42="","",INDEX(Settings!$B$4:$B$7,MATCH(C42,Settings!$A$4:$A$7,0)))</f>
        <v/>
      </c>
      <c r="I42" s="7" t="str">
        <f aca="false">IF(OR(F42="",H42=""),"",F42+H42/24)</f>
        <v/>
      </c>
      <c r="J42" s="8" t="str">
        <f aca="true">IF(F42="","",ROUND((IF(G42&lt;&gt;"",G42,NOW())-F42)*24,1))</f>
        <v/>
      </c>
      <c r="K42" s="9" t="str">
        <f aca="true">IF(I42="","",IF(IF(G42&lt;&gt;"",G42,NOW())&gt;I42,"Breached","Within SLA"))</f>
        <v/>
      </c>
    </row>
    <row r="43" customFormat="false" ht="15" hidden="false" customHeight="false" outlineLevel="0" collapsed="false">
      <c r="A43" s="4" t="s">
        <v>68</v>
      </c>
      <c r="B43" s="4"/>
      <c r="C43" s="4"/>
      <c r="D43" s="4"/>
      <c r="E43" s="4"/>
      <c r="F43" s="5"/>
      <c r="G43" s="5"/>
      <c r="H43" s="6" t="str">
        <f aca="false">IF(C43="","",INDEX(Settings!$B$4:$B$7,MATCH(C43,Settings!$A$4:$A$7,0)))</f>
        <v/>
      </c>
      <c r="I43" s="7" t="str">
        <f aca="false">IF(OR(F43="",H43=""),"",F43+H43/24)</f>
        <v/>
      </c>
      <c r="J43" s="8" t="str">
        <f aca="true">IF(F43="","",ROUND((IF(G43&lt;&gt;"",G43,NOW())-F43)*24,1))</f>
        <v/>
      </c>
      <c r="K43" s="9" t="str">
        <f aca="true">IF(I43="","",IF(IF(G43&lt;&gt;"",G43,NOW())&gt;I43,"Breached","Within SLA"))</f>
        <v/>
      </c>
    </row>
    <row r="44" customFormat="false" ht="15" hidden="false" customHeight="false" outlineLevel="0" collapsed="false">
      <c r="A44" s="4" t="s">
        <v>69</v>
      </c>
      <c r="B44" s="4"/>
      <c r="C44" s="4"/>
      <c r="D44" s="4"/>
      <c r="E44" s="4"/>
      <c r="F44" s="5"/>
      <c r="G44" s="5"/>
      <c r="H44" s="6" t="str">
        <f aca="false">IF(C44="","",INDEX(Settings!$B$4:$B$7,MATCH(C44,Settings!$A$4:$A$7,0)))</f>
        <v/>
      </c>
      <c r="I44" s="7" t="str">
        <f aca="false">IF(OR(F44="",H44=""),"",F44+H44/24)</f>
        <v/>
      </c>
      <c r="J44" s="8" t="str">
        <f aca="true">IF(F44="","",ROUND((IF(G44&lt;&gt;"",G44,NOW())-F44)*24,1))</f>
        <v/>
      </c>
      <c r="K44" s="9" t="str">
        <f aca="true">IF(I44="","",IF(IF(G44&lt;&gt;"",G44,NOW())&gt;I44,"Breached","Within SLA"))</f>
        <v/>
      </c>
    </row>
    <row r="45" customFormat="false" ht="15" hidden="false" customHeight="false" outlineLevel="0" collapsed="false">
      <c r="A45" s="4" t="s">
        <v>70</v>
      </c>
      <c r="B45" s="4"/>
      <c r="C45" s="4"/>
      <c r="D45" s="4"/>
      <c r="E45" s="4"/>
      <c r="F45" s="5"/>
      <c r="G45" s="5"/>
      <c r="H45" s="6" t="str">
        <f aca="false">IF(C45="","",INDEX(Settings!$B$4:$B$7,MATCH(C45,Settings!$A$4:$A$7,0)))</f>
        <v/>
      </c>
      <c r="I45" s="7" t="str">
        <f aca="false">IF(OR(F45="",H45=""),"",F45+H45/24)</f>
        <v/>
      </c>
      <c r="J45" s="8" t="str">
        <f aca="true">IF(F45="","",ROUND((IF(G45&lt;&gt;"",G45,NOW())-F45)*24,1))</f>
        <v/>
      </c>
      <c r="K45" s="9" t="str">
        <f aca="true">IF(I45="","",IF(IF(G45&lt;&gt;"",G45,NOW())&gt;I45,"Breached","Within SLA"))</f>
        <v/>
      </c>
    </row>
    <row r="46" customFormat="false" ht="15" hidden="false" customHeight="false" outlineLevel="0" collapsed="false">
      <c r="A46" s="4" t="s">
        <v>71</v>
      </c>
      <c r="B46" s="4"/>
      <c r="C46" s="4"/>
      <c r="D46" s="4"/>
      <c r="E46" s="4"/>
      <c r="F46" s="5"/>
      <c r="G46" s="5"/>
      <c r="H46" s="6" t="str">
        <f aca="false">IF(C46="","",INDEX(Settings!$B$4:$B$7,MATCH(C46,Settings!$A$4:$A$7,0)))</f>
        <v/>
      </c>
      <c r="I46" s="7" t="str">
        <f aca="false">IF(OR(F46="",H46=""),"",F46+H46/24)</f>
        <v/>
      </c>
      <c r="J46" s="8" t="str">
        <f aca="true">IF(F46="","",ROUND((IF(G46&lt;&gt;"",G46,NOW())-F46)*24,1))</f>
        <v/>
      </c>
      <c r="K46" s="9" t="str">
        <f aca="true">IF(I46="","",IF(IF(G46&lt;&gt;"",G46,NOW())&gt;I46,"Breached","Within SLA"))</f>
        <v/>
      </c>
    </row>
    <row r="47" customFormat="false" ht="15" hidden="false" customHeight="false" outlineLevel="0" collapsed="false">
      <c r="A47" s="4" t="s">
        <v>72</v>
      </c>
      <c r="B47" s="4"/>
      <c r="C47" s="4"/>
      <c r="D47" s="4"/>
      <c r="E47" s="4"/>
      <c r="F47" s="5"/>
      <c r="G47" s="5"/>
      <c r="H47" s="6" t="str">
        <f aca="false">IF(C47="","",INDEX(Settings!$B$4:$B$7,MATCH(C47,Settings!$A$4:$A$7,0)))</f>
        <v/>
      </c>
      <c r="I47" s="7" t="str">
        <f aca="false">IF(OR(F47="",H47=""),"",F47+H47/24)</f>
        <v/>
      </c>
      <c r="J47" s="8" t="str">
        <f aca="true">IF(F47="","",ROUND((IF(G47&lt;&gt;"",G47,NOW())-F47)*24,1))</f>
        <v/>
      </c>
      <c r="K47" s="9" t="str">
        <f aca="true">IF(I47="","",IF(IF(G47&lt;&gt;"",G47,NOW())&gt;I47,"Breached","Within SLA"))</f>
        <v/>
      </c>
    </row>
    <row r="48" customFormat="false" ht="15" hidden="false" customHeight="false" outlineLevel="0" collapsed="false">
      <c r="A48" s="4" t="s">
        <v>73</v>
      </c>
      <c r="B48" s="4"/>
      <c r="C48" s="4"/>
      <c r="D48" s="4"/>
      <c r="E48" s="4"/>
      <c r="F48" s="5"/>
      <c r="G48" s="5"/>
      <c r="H48" s="6" t="str">
        <f aca="false">IF(C48="","",INDEX(Settings!$B$4:$B$7,MATCH(C48,Settings!$A$4:$A$7,0)))</f>
        <v/>
      </c>
      <c r="I48" s="7" t="str">
        <f aca="false">IF(OR(F48="",H48=""),"",F48+H48/24)</f>
        <v/>
      </c>
      <c r="J48" s="8" t="str">
        <f aca="true">IF(F48="","",ROUND((IF(G48&lt;&gt;"",G48,NOW())-F48)*24,1))</f>
        <v/>
      </c>
      <c r="K48" s="9" t="str">
        <f aca="true">IF(I48="","",IF(IF(G48&lt;&gt;"",G48,NOW())&gt;I48,"Breached","Within SLA"))</f>
        <v/>
      </c>
    </row>
    <row r="49" customFormat="false" ht="15" hidden="false" customHeight="false" outlineLevel="0" collapsed="false">
      <c r="A49" s="4" t="s">
        <v>74</v>
      </c>
      <c r="B49" s="4"/>
      <c r="C49" s="4"/>
      <c r="D49" s="4"/>
      <c r="E49" s="4"/>
      <c r="F49" s="5"/>
      <c r="G49" s="5"/>
      <c r="H49" s="6" t="str">
        <f aca="false">IF(C49="","",INDEX(Settings!$B$4:$B$7,MATCH(C49,Settings!$A$4:$A$7,0)))</f>
        <v/>
      </c>
      <c r="I49" s="7" t="str">
        <f aca="false">IF(OR(F49="",H49=""),"",F49+H49/24)</f>
        <v/>
      </c>
      <c r="J49" s="8" t="str">
        <f aca="true">IF(F49="","",ROUND((IF(G49&lt;&gt;"",G49,NOW())-F49)*24,1))</f>
        <v/>
      </c>
      <c r="K49" s="9" t="str">
        <f aca="true">IF(I49="","",IF(IF(G49&lt;&gt;"",G49,NOW())&gt;I49,"Breached","Within SLA"))</f>
        <v/>
      </c>
    </row>
    <row r="50" customFormat="false" ht="15" hidden="false" customHeight="false" outlineLevel="0" collapsed="false">
      <c r="A50" s="4" t="s">
        <v>75</v>
      </c>
      <c r="B50" s="4"/>
      <c r="C50" s="4"/>
      <c r="D50" s="4"/>
      <c r="E50" s="4"/>
      <c r="F50" s="5"/>
      <c r="G50" s="5"/>
      <c r="H50" s="6" t="str">
        <f aca="false">IF(C50="","",INDEX(Settings!$B$4:$B$7,MATCH(C50,Settings!$A$4:$A$7,0)))</f>
        <v/>
      </c>
      <c r="I50" s="7" t="str">
        <f aca="false">IF(OR(F50="",H50=""),"",F50+H50/24)</f>
        <v/>
      </c>
      <c r="J50" s="8" t="str">
        <f aca="true">IF(F50="","",ROUND((IF(G50&lt;&gt;"",G50,NOW())-F50)*24,1))</f>
        <v/>
      </c>
      <c r="K50" s="9" t="str">
        <f aca="true">IF(I50="","",IF(IF(G50&lt;&gt;"",G50,NOW())&gt;I50,"Breached","Within SLA"))</f>
        <v/>
      </c>
    </row>
    <row r="51" customFormat="false" ht="15" hidden="false" customHeight="false" outlineLevel="0" collapsed="false">
      <c r="A51" s="4" t="s">
        <v>76</v>
      </c>
      <c r="B51" s="4"/>
      <c r="C51" s="4"/>
      <c r="D51" s="4"/>
      <c r="E51" s="4"/>
      <c r="F51" s="5"/>
      <c r="G51" s="5"/>
      <c r="H51" s="6" t="str">
        <f aca="false">IF(C51="","",INDEX(Settings!$B$4:$B$7,MATCH(C51,Settings!$A$4:$A$7,0)))</f>
        <v/>
      </c>
      <c r="I51" s="7" t="str">
        <f aca="false">IF(OR(F51="",H51=""),"",F51+H51/24)</f>
        <v/>
      </c>
      <c r="J51" s="8" t="str">
        <f aca="true">IF(F51="","",ROUND((IF(G51&lt;&gt;"",G51,NOW())-F51)*24,1))</f>
        <v/>
      </c>
      <c r="K51" s="9" t="str">
        <f aca="true">IF(I51="","",IF(IF(G51&lt;&gt;"",G51,NOW())&gt;I51,"Breached","Within SLA"))</f>
        <v/>
      </c>
    </row>
    <row r="52" customFormat="false" ht="15" hidden="false" customHeight="false" outlineLevel="0" collapsed="false">
      <c r="A52" s="4" t="s">
        <v>77</v>
      </c>
      <c r="B52" s="4"/>
      <c r="C52" s="4"/>
      <c r="D52" s="4"/>
      <c r="E52" s="4"/>
      <c r="F52" s="5"/>
      <c r="G52" s="5"/>
      <c r="H52" s="6" t="str">
        <f aca="false">IF(C52="","",INDEX(Settings!$B$4:$B$7,MATCH(C52,Settings!$A$4:$A$7,0)))</f>
        <v/>
      </c>
      <c r="I52" s="7" t="str">
        <f aca="false">IF(OR(F52="",H52=""),"",F52+H52/24)</f>
        <v/>
      </c>
      <c r="J52" s="8" t="str">
        <f aca="true">IF(F52="","",ROUND((IF(G52&lt;&gt;"",G52,NOW())-F52)*24,1))</f>
        <v/>
      </c>
      <c r="K52" s="9" t="str">
        <f aca="true">IF(I52="","",IF(IF(G52&lt;&gt;"",G52,NOW())&gt;I52,"Breached","Within SLA"))</f>
        <v/>
      </c>
    </row>
    <row r="53" customFormat="false" ht="15" hidden="false" customHeight="false" outlineLevel="0" collapsed="false">
      <c r="A53" s="4" t="s">
        <v>78</v>
      </c>
      <c r="B53" s="4"/>
      <c r="C53" s="4"/>
      <c r="D53" s="4"/>
      <c r="E53" s="4"/>
      <c r="F53" s="5"/>
      <c r="G53" s="5"/>
      <c r="H53" s="6" t="str">
        <f aca="false">IF(C53="","",INDEX(Settings!$B$4:$B$7,MATCH(C53,Settings!$A$4:$A$7,0)))</f>
        <v/>
      </c>
      <c r="I53" s="7" t="str">
        <f aca="false">IF(OR(F53="",H53=""),"",F53+H53/24)</f>
        <v/>
      </c>
      <c r="J53" s="8" t="str">
        <f aca="true">IF(F53="","",ROUND((IF(G53&lt;&gt;"",G53,NOW())-F53)*24,1))</f>
        <v/>
      </c>
      <c r="K53" s="9" t="str">
        <f aca="true">IF(I53="","",IF(IF(G53&lt;&gt;"",G53,NOW())&gt;I53,"Breached","Within SLA"))</f>
        <v/>
      </c>
    </row>
    <row r="54" customFormat="false" ht="15" hidden="false" customHeight="false" outlineLevel="0" collapsed="false">
      <c r="A54" s="4" t="s">
        <v>79</v>
      </c>
      <c r="B54" s="4"/>
      <c r="C54" s="4"/>
      <c r="D54" s="4"/>
      <c r="E54" s="4"/>
      <c r="F54" s="5"/>
      <c r="G54" s="5"/>
      <c r="H54" s="6" t="str">
        <f aca="false">IF(C54="","",INDEX(Settings!$B$4:$B$7,MATCH(C54,Settings!$A$4:$A$7,0)))</f>
        <v/>
      </c>
      <c r="I54" s="7" t="str">
        <f aca="false">IF(OR(F54="",H54=""),"",F54+H54/24)</f>
        <v/>
      </c>
      <c r="J54" s="8" t="str">
        <f aca="true">IF(F54="","",ROUND((IF(G54&lt;&gt;"",G54,NOW())-F54)*24,1))</f>
        <v/>
      </c>
      <c r="K54" s="9" t="str">
        <f aca="true">IF(I54="","",IF(IF(G54&lt;&gt;"",G54,NOW())&gt;I54,"Breached","Within SLA"))</f>
        <v/>
      </c>
    </row>
    <row r="55" customFormat="false" ht="15" hidden="false" customHeight="false" outlineLevel="0" collapsed="false">
      <c r="A55" s="4" t="s">
        <v>80</v>
      </c>
      <c r="B55" s="4"/>
      <c r="C55" s="4"/>
      <c r="D55" s="4"/>
      <c r="E55" s="4"/>
      <c r="F55" s="5"/>
      <c r="G55" s="5"/>
      <c r="H55" s="6" t="str">
        <f aca="false">IF(C55="","",INDEX(Settings!$B$4:$B$7,MATCH(C55,Settings!$A$4:$A$7,0)))</f>
        <v/>
      </c>
      <c r="I55" s="7" t="str">
        <f aca="false">IF(OR(F55="",H55=""),"",F55+H55/24)</f>
        <v/>
      </c>
      <c r="J55" s="8" t="str">
        <f aca="true">IF(F55="","",ROUND((IF(G55&lt;&gt;"",G55,NOW())-F55)*24,1))</f>
        <v/>
      </c>
      <c r="K55" s="9" t="str">
        <f aca="true">IF(I55="","",IF(IF(G55&lt;&gt;"",G55,NOW())&gt;I55,"Breached","Within SLA"))</f>
        <v/>
      </c>
    </row>
    <row r="56" customFormat="false" ht="15" hidden="false" customHeight="false" outlineLevel="0" collapsed="false">
      <c r="A56" s="4" t="s">
        <v>81</v>
      </c>
      <c r="B56" s="4"/>
      <c r="C56" s="4"/>
      <c r="D56" s="4"/>
      <c r="E56" s="4"/>
      <c r="F56" s="5"/>
      <c r="G56" s="5"/>
      <c r="H56" s="6" t="str">
        <f aca="false">IF(C56="","",INDEX(Settings!$B$4:$B$7,MATCH(C56,Settings!$A$4:$A$7,0)))</f>
        <v/>
      </c>
      <c r="I56" s="7" t="str">
        <f aca="false">IF(OR(F56="",H56=""),"",F56+H56/24)</f>
        <v/>
      </c>
      <c r="J56" s="8" t="str">
        <f aca="true">IF(F56="","",ROUND((IF(G56&lt;&gt;"",G56,NOW())-F56)*24,1))</f>
        <v/>
      </c>
      <c r="K56" s="9" t="str">
        <f aca="true">IF(I56="","",IF(IF(G56&lt;&gt;"",G56,NOW())&gt;I56,"Breached","Within SLA"))</f>
        <v/>
      </c>
    </row>
    <row r="57" customFormat="false" ht="15" hidden="false" customHeight="false" outlineLevel="0" collapsed="false">
      <c r="A57" s="4" t="s">
        <v>82</v>
      </c>
      <c r="B57" s="4"/>
      <c r="C57" s="4"/>
      <c r="D57" s="4"/>
      <c r="E57" s="4"/>
      <c r="F57" s="5"/>
      <c r="G57" s="5"/>
      <c r="H57" s="6" t="str">
        <f aca="false">IF(C57="","",INDEX(Settings!$B$4:$B$7,MATCH(C57,Settings!$A$4:$A$7,0)))</f>
        <v/>
      </c>
      <c r="I57" s="7" t="str">
        <f aca="false">IF(OR(F57="",H57=""),"",F57+H57/24)</f>
        <v/>
      </c>
      <c r="J57" s="8" t="str">
        <f aca="true">IF(F57="","",ROUND((IF(G57&lt;&gt;"",G57,NOW())-F57)*24,1))</f>
        <v/>
      </c>
      <c r="K57" s="9" t="str">
        <f aca="true">IF(I57="","",IF(IF(G57&lt;&gt;"",G57,NOW())&gt;I57,"Breached","Within SLA"))</f>
        <v/>
      </c>
    </row>
    <row r="58" customFormat="false" ht="15" hidden="false" customHeight="false" outlineLevel="0" collapsed="false">
      <c r="A58" s="4" t="s">
        <v>83</v>
      </c>
      <c r="B58" s="4"/>
      <c r="C58" s="4"/>
      <c r="D58" s="4"/>
      <c r="E58" s="4"/>
      <c r="F58" s="5"/>
      <c r="G58" s="5"/>
      <c r="H58" s="6" t="str">
        <f aca="false">IF(C58="","",INDEX(Settings!$B$4:$B$7,MATCH(C58,Settings!$A$4:$A$7,0)))</f>
        <v/>
      </c>
      <c r="I58" s="7" t="str">
        <f aca="false">IF(OR(F58="",H58=""),"",F58+H58/24)</f>
        <v/>
      </c>
      <c r="J58" s="8" t="str">
        <f aca="true">IF(F58="","",ROUND((IF(G58&lt;&gt;"",G58,NOW())-F58)*24,1))</f>
        <v/>
      </c>
      <c r="K58" s="9" t="str">
        <f aca="true">IF(I58="","",IF(IF(G58&lt;&gt;"",G58,NOW())&gt;I58,"Breached","Within SLA"))</f>
        <v/>
      </c>
    </row>
    <row r="59" customFormat="false" ht="15" hidden="false" customHeight="false" outlineLevel="0" collapsed="false">
      <c r="A59" s="4" t="s">
        <v>84</v>
      </c>
      <c r="B59" s="4"/>
      <c r="C59" s="4"/>
      <c r="D59" s="4"/>
      <c r="E59" s="4"/>
      <c r="F59" s="5"/>
      <c r="G59" s="5"/>
      <c r="H59" s="6" t="str">
        <f aca="false">IF(C59="","",INDEX(Settings!$B$4:$B$7,MATCH(C59,Settings!$A$4:$A$7,0)))</f>
        <v/>
      </c>
      <c r="I59" s="7" t="str">
        <f aca="false">IF(OR(F59="",H59=""),"",F59+H59/24)</f>
        <v/>
      </c>
      <c r="J59" s="8" t="str">
        <f aca="true">IF(F59="","",ROUND((IF(G59&lt;&gt;"",G59,NOW())-F59)*24,1))</f>
        <v/>
      </c>
      <c r="K59" s="9" t="str">
        <f aca="true">IF(I59="","",IF(IF(G59&lt;&gt;"",G59,NOW())&gt;I59,"Breached","Within SLA"))</f>
        <v/>
      </c>
    </row>
    <row r="60" customFormat="false" ht="15" hidden="false" customHeight="false" outlineLevel="0" collapsed="false">
      <c r="A60" s="4" t="s">
        <v>85</v>
      </c>
      <c r="B60" s="4"/>
      <c r="C60" s="4"/>
      <c r="D60" s="4"/>
      <c r="E60" s="4"/>
      <c r="F60" s="5"/>
      <c r="G60" s="5"/>
      <c r="H60" s="6" t="str">
        <f aca="false">IF(C60="","",INDEX(Settings!$B$4:$B$7,MATCH(C60,Settings!$A$4:$A$7,0)))</f>
        <v/>
      </c>
      <c r="I60" s="7" t="str">
        <f aca="false">IF(OR(F60="",H60=""),"",F60+H60/24)</f>
        <v/>
      </c>
      <c r="J60" s="8" t="str">
        <f aca="true">IF(F60="","",ROUND((IF(G60&lt;&gt;"",G60,NOW())-F60)*24,1))</f>
        <v/>
      </c>
      <c r="K60" s="9" t="str">
        <f aca="true">IF(I60="","",IF(IF(G60&lt;&gt;"",G60,NOW())&gt;I60,"Breached","Within SLA"))</f>
        <v/>
      </c>
    </row>
    <row r="61" customFormat="false" ht="15" hidden="false" customHeight="false" outlineLevel="0" collapsed="false">
      <c r="A61" s="4" t="s">
        <v>86</v>
      </c>
      <c r="B61" s="4"/>
      <c r="C61" s="4"/>
      <c r="D61" s="4"/>
      <c r="E61" s="4"/>
      <c r="F61" s="5"/>
      <c r="G61" s="5"/>
      <c r="H61" s="6" t="str">
        <f aca="false">IF(C61="","",INDEX(Settings!$B$4:$B$7,MATCH(C61,Settings!$A$4:$A$7,0)))</f>
        <v/>
      </c>
      <c r="I61" s="7" t="str">
        <f aca="false">IF(OR(F61="",H61=""),"",F61+H61/24)</f>
        <v/>
      </c>
      <c r="J61" s="8" t="str">
        <f aca="true">IF(F61="","",ROUND((IF(G61&lt;&gt;"",G61,NOW())-F61)*24,1))</f>
        <v/>
      </c>
      <c r="K61" s="9" t="str">
        <f aca="true">IF(I61="","",IF(IF(G61&lt;&gt;"",G61,NOW())&gt;I61,"Breached","Within SLA"))</f>
        <v/>
      </c>
    </row>
    <row r="62" customFormat="false" ht="15" hidden="false" customHeight="false" outlineLevel="0" collapsed="false">
      <c r="A62" s="4" t="s">
        <v>87</v>
      </c>
      <c r="B62" s="4"/>
      <c r="C62" s="4"/>
      <c r="D62" s="4"/>
      <c r="E62" s="4"/>
      <c r="F62" s="5"/>
      <c r="G62" s="5"/>
      <c r="H62" s="6" t="str">
        <f aca="false">IF(C62="","",INDEX(Settings!$B$4:$B$7,MATCH(C62,Settings!$A$4:$A$7,0)))</f>
        <v/>
      </c>
      <c r="I62" s="7" t="str">
        <f aca="false">IF(OR(F62="",H62=""),"",F62+H62/24)</f>
        <v/>
      </c>
      <c r="J62" s="8" t="str">
        <f aca="true">IF(F62="","",ROUND((IF(G62&lt;&gt;"",G62,NOW())-F62)*24,1))</f>
        <v/>
      </c>
      <c r="K62" s="9" t="str">
        <f aca="true">IF(I62="","",IF(IF(G62&lt;&gt;"",G62,NOW())&gt;I62,"Breached","Within SLA"))</f>
        <v/>
      </c>
    </row>
    <row r="63" customFormat="false" ht="15" hidden="false" customHeight="false" outlineLevel="0" collapsed="false">
      <c r="A63" s="4" t="s">
        <v>88</v>
      </c>
      <c r="B63" s="4"/>
      <c r="C63" s="4"/>
      <c r="D63" s="4"/>
      <c r="E63" s="4"/>
      <c r="F63" s="5"/>
      <c r="G63" s="5"/>
      <c r="H63" s="6" t="str">
        <f aca="false">IF(C63="","",INDEX(Settings!$B$4:$B$7,MATCH(C63,Settings!$A$4:$A$7,0)))</f>
        <v/>
      </c>
      <c r="I63" s="7" t="str">
        <f aca="false">IF(OR(F63="",H63=""),"",F63+H63/24)</f>
        <v/>
      </c>
      <c r="J63" s="8" t="str">
        <f aca="true">IF(F63="","",ROUND((IF(G63&lt;&gt;"",G63,NOW())-F63)*24,1))</f>
        <v/>
      </c>
      <c r="K63" s="9" t="str">
        <f aca="true">IF(I63="","",IF(IF(G63&lt;&gt;"",G63,NOW())&gt;I63,"Breached","Within SLA"))</f>
        <v/>
      </c>
    </row>
    <row r="64" customFormat="false" ht="15" hidden="false" customHeight="false" outlineLevel="0" collapsed="false">
      <c r="A64" s="4" t="s">
        <v>89</v>
      </c>
      <c r="B64" s="4"/>
      <c r="C64" s="4"/>
      <c r="D64" s="4"/>
      <c r="E64" s="4"/>
      <c r="F64" s="5"/>
      <c r="G64" s="5"/>
      <c r="H64" s="6" t="str">
        <f aca="false">IF(C64="","",INDEX(Settings!$B$4:$B$7,MATCH(C64,Settings!$A$4:$A$7,0)))</f>
        <v/>
      </c>
      <c r="I64" s="7" t="str">
        <f aca="false">IF(OR(F64="",H64=""),"",F64+H64/24)</f>
        <v/>
      </c>
      <c r="J64" s="8" t="str">
        <f aca="true">IF(F64="","",ROUND((IF(G64&lt;&gt;"",G64,NOW())-F64)*24,1))</f>
        <v/>
      </c>
      <c r="K64" s="9" t="str">
        <f aca="true">IF(I64="","",IF(IF(G64&lt;&gt;"",G64,NOW())&gt;I64,"Breached","Within SLA"))</f>
        <v/>
      </c>
    </row>
    <row r="65" customFormat="false" ht="15" hidden="false" customHeight="false" outlineLevel="0" collapsed="false">
      <c r="A65" s="4" t="s">
        <v>90</v>
      </c>
      <c r="B65" s="4"/>
      <c r="C65" s="4"/>
      <c r="D65" s="4"/>
      <c r="E65" s="4"/>
      <c r="F65" s="5"/>
      <c r="G65" s="5"/>
      <c r="H65" s="6" t="str">
        <f aca="false">IF(C65="","",INDEX(Settings!$B$4:$B$7,MATCH(C65,Settings!$A$4:$A$7,0)))</f>
        <v/>
      </c>
      <c r="I65" s="7" t="str">
        <f aca="false">IF(OR(F65="",H65=""),"",F65+H65/24)</f>
        <v/>
      </c>
      <c r="J65" s="8" t="str">
        <f aca="true">IF(F65="","",ROUND((IF(G65&lt;&gt;"",G65,NOW())-F65)*24,1))</f>
        <v/>
      </c>
      <c r="K65" s="9" t="str">
        <f aca="true">IF(I65="","",IF(IF(G65&lt;&gt;"",G65,NOW())&gt;I65,"Breached","Within SLA"))</f>
        <v/>
      </c>
    </row>
    <row r="66" customFormat="false" ht="15" hidden="false" customHeight="false" outlineLevel="0" collapsed="false">
      <c r="A66" s="4" t="s">
        <v>91</v>
      </c>
      <c r="B66" s="4"/>
      <c r="C66" s="4"/>
      <c r="D66" s="4"/>
      <c r="E66" s="4"/>
      <c r="F66" s="5"/>
      <c r="G66" s="5"/>
      <c r="H66" s="6" t="str">
        <f aca="false">IF(C66="","",INDEX(Settings!$B$4:$B$7,MATCH(C66,Settings!$A$4:$A$7,0)))</f>
        <v/>
      </c>
      <c r="I66" s="7" t="str">
        <f aca="false">IF(OR(F66="",H66=""),"",F66+H66/24)</f>
        <v/>
      </c>
      <c r="J66" s="8" t="str">
        <f aca="true">IF(F66="","",ROUND((IF(G66&lt;&gt;"",G66,NOW())-F66)*24,1))</f>
        <v/>
      </c>
      <c r="K66" s="9" t="str">
        <f aca="true">IF(I66="","",IF(IF(G66&lt;&gt;"",G66,NOW())&gt;I66,"Breached","Within SLA"))</f>
        <v/>
      </c>
    </row>
    <row r="67" customFormat="false" ht="15" hidden="false" customHeight="false" outlineLevel="0" collapsed="false">
      <c r="A67" s="4" t="s">
        <v>92</v>
      </c>
      <c r="B67" s="4"/>
      <c r="C67" s="4"/>
      <c r="D67" s="4"/>
      <c r="E67" s="4"/>
      <c r="F67" s="5"/>
      <c r="G67" s="5"/>
      <c r="H67" s="6" t="str">
        <f aca="false">IF(C67="","",INDEX(Settings!$B$4:$B$7,MATCH(C67,Settings!$A$4:$A$7,0)))</f>
        <v/>
      </c>
      <c r="I67" s="7" t="str">
        <f aca="false">IF(OR(F67="",H67=""),"",F67+H67/24)</f>
        <v/>
      </c>
      <c r="J67" s="8" t="str">
        <f aca="true">IF(F67="","",ROUND((IF(G67&lt;&gt;"",G67,NOW())-F67)*24,1))</f>
        <v/>
      </c>
      <c r="K67" s="9" t="str">
        <f aca="true">IF(I67="","",IF(IF(G67&lt;&gt;"",G67,NOW())&gt;I67,"Breached","Within SLA"))</f>
        <v/>
      </c>
    </row>
    <row r="68" customFormat="false" ht="15" hidden="false" customHeight="false" outlineLevel="0" collapsed="false">
      <c r="A68" s="4" t="s">
        <v>93</v>
      </c>
      <c r="B68" s="4"/>
      <c r="C68" s="4"/>
      <c r="D68" s="4"/>
      <c r="E68" s="4"/>
      <c r="F68" s="5"/>
      <c r="G68" s="5"/>
      <c r="H68" s="6" t="str">
        <f aca="false">IF(C68="","",INDEX(Settings!$B$4:$B$7,MATCH(C68,Settings!$A$4:$A$7,0)))</f>
        <v/>
      </c>
      <c r="I68" s="7" t="str">
        <f aca="false">IF(OR(F68="",H68=""),"",F68+H68/24)</f>
        <v/>
      </c>
      <c r="J68" s="8" t="str">
        <f aca="true">IF(F68="","",ROUND((IF(G68&lt;&gt;"",G68,NOW())-F68)*24,1))</f>
        <v/>
      </c>
      <c r="K68" s="9" t="str">
        <f aca="true">IF(I68="","",IF(IF(G68&lt;&gt;"",G68,NOW())&gt;I68,"Breached","Within SLA"))</f>
        <v/>
      </c>
    </row>
    <row r="69" customFormat="false" ht="15" hidden="false" customHeight="false" outlineLevel="0" collapsed="false">
      <c r="A69" s="4" t="s">
        <v>94</v>
      </c>
      <c r="B69" s="4"/>
      <c r="C69" s="4"/>
      <c r="D69" s="4"/>
      <c r="E69" s="4"/>
      <c r="F69" s="5"/>
      <c r="G69" s="5"/>
      <c r="H69" s="6" t="str">
        <f aca="false">IF(C69="","",INDEX(Settings!$B$4:$B$7,MATCH(C69,Settings!$A$4:$A$7,0)))</f>
        <v/>
      </c>
      <c r="I69" s="7" t="str">
        <f aca="false">IF(OR(F69="",H69=""),"",F69+H69/24)</f>
        <v/>
      </c>
      <c r="J69" s="8" t="str">
        <f aca="true">IF(F69="","",ROUND((IF(G69&lt;&gt;"",G69,NOW())-F69)*24,1))</f>
        <v/>
      </c>
      <c r="K69" s="9" t="str">
        <f aca="true">IF(I69="","",IF(IF(G69&lt;&gt;"",G69,NOW())&gt;I69,"Breached","Within SLA"))</f>
        <v/>
      </c>
    </row>
    <row r="70" customFormat="false" ht="15" hidden="false" customHeight="false" outlineLevel="0" collapsed="false">
      <c r="A70" s="4" t="s">
        <v>95</v>
      </c>
      <c r="B70" s="4"/>
      <c r="C70" s="4"/>
      <c r="D70" s="4"/>
      <c r="E70" s="4"/>
      <c r="F70" s="5"/>
      <c r="G70" s="5"/>
      <c r="H70" s="6" t="str">
        <f aca="false">IF(C70="","",INDEX(Settings!$B$4:$B$7,MATCH(C70,Settings!$A$4:$A$7,0)))</f>
        <v/>
      </c>
      <c r="I70" s="7" t="str">
        <f aca="false">IF(OR(F70="",H70=""),"",F70+H70/24)</f>
        <v/>
      </c>
      <c r="J70" s="8" t="str">
        <f aca="true">IF(F70="","",ROUND((IF(G70&lt;&gt;"",G70,NOW())-F70)*24,1))</f>
        <v/>
      </c>
      <c r="K70" s="9" t="str">
        <f aca="true">IF(I70="","",IF(IF(G70&lt;&gt;"",G70,NOW())&gt;I70,"Breached","Within SLA"))</f>
        <v/>
      </c>
    </row>
    <row r="71" customFormat="false" ht="15" hidden="false" customHeight="false" outlineLevel="0" collapsed="false">
      <c r="A71" s="4" t="s">
        <v>96</v>
      </c>
      <c r="B71" s="4"/>
      <c r="C71" s="4"/>
      <c r="D71" s="4"/>
      <c r="E71" s="4"/>
      <c r="F71" s="5"/>
      <c r="G71" s="5"/>
      <c r="H71" s="6" t="str">
        <f aca="false">IF(C71="","",INDEX(Settings!$B$4:$B$7,MATCH(C71,Settings!$A$4:$A$7,0)))</f>
        <v/>
      </c>
      <c r="I71" s="7" t="str">
        <f aca="false">IF(OR(F71="",H71=""),"",F71+H71/24)</f>
        <v/>
      </c>
      <c r="J71" s="8" t="str">
        <f aca="true">IF(F71="","",ROUND((IF(G71&lt;&gt;"",G71,NOW())-F71)*24,1))</f>
        <v/>
      </c>
      <c r="K71" s="9" t="str">
        <f aca="true">IF(I71="","",IF(IF(G71&lt;&gt;"",G71,NOW())&gt;I71,"Breached","Within SLA"))</f>
        <v/>
      </c>
    </row>
    <row r="72" customFormat="false" ht="15" hidden="false" customHeight="false" outlineLevel="0" collapsed="false">
      <c r="A72" s="4" t="s">
        <v>97</v>
      </c>
      <c r="B72" s="4"/>
      <c r="C72" s="4"/>
      <c r="D72" s="4"/>
      <c r="E72" s="4"/>
      <c r="F72" s="5"/>
      <c r="G72" s="5"/>
      <c r="H72" s="6" t="str">
        <f aca="false">IF(C72="","",INDEX(Settings!$B$4:$B$7,MATCH(C72,Settings!$A$4:$A$7,0)))</f>
        <v/>
      </c>
      <c r="I72" s="7" t="str">
        <f aca="false">IF(OR(F72="",H72=""),"",F72+H72/24)</f>
        <v/>
      </c>
      <c r="J72" s="8" t="str">
        <f aca="true">IF(F72="","",ROUND((IF(G72&lt;&gt;"",G72,NOW())-F72)*24,1))</f>
        <v/>
      </c>
      <c r="K72" s="9" t="str">
        <f aca="true">IF(I72="","",IF(IF(G72&lt;&gt;"",G72,NOW())&gt;I72,"Breached","Within SLA"))</f>
        <v/>
      </c>
    </row>
    <row r="73" customFormat="false" ht="15" hidden="false" customHeight="false" outlineLevel="0" collapsed="false">
      <c r="A73" s="4" t="s">
        <v>98</v>
      </c>
      <c r="B73" s="4"/>
      <c r="C73" s="4"/>
      <c r="D73" s="4"/>
      <c r="E73" s="4"/>
      <c r="F73" s="5"/>
      <c r="G73" s="5"/>
      <c r="H73" s="6" t="str">
        <f aca="false">IF(C73="","",INDEX(Settings!$B$4:$B$7,MATCH(C73,Settings!$A$4:$A$7,0)))</f>
        <v/>
      </c>
      <c r="I73" s="7" t="str">
        <f aca="false">IF(OR(F73="",H73=""),"",F73+H73/24)</f>
        <v/>
      </c>
      <c r="J73" s="8" t="str">
        <f aca="true">IF(F73="","",ROUND((IF(G73&lt;&gt;"",G73,NOW())-F73)*24,1))</f>
        <v/>
      </c>
      <c r="K73" s="9" t="str">
        <f aca="true">IF(I73="","",IF(IF(G73&lt;&gt;"",G73,NOW())&gt;I73,"Breached","Within SLA"))</f>
        <v/>
      </c>
    </row>
    <row r="74" customFormat="false" ht="15" hidden="false" customHeight="false" outlineLevel="0" collapsed="false">
      <c r="A74" s="4" t="s">
        <v>99</v>
      </c>
      <c r="B74" s="4"/>
      <c r="C74" s="4"/>
      <c r="D74" s="4"/>
      <c r="E74" s="4"/>
      <c r="F74" s="5"/>
      <c r="G74" s="5"/>
      <c r="H74" s="6" t="str">
        <f aca="false">IF(C74="","",INDEX(Settings!$B$4:$B$7,MATCH(C74,Settings!$A$4:$A$7,0)))</f>
        <v/>
      </c>
      <c r="I74" s="7" t="str">
        <f aca="false">IF(OR(F74="",H74=""),"",F74+H74/24)</f>
        <v/>
      </c>
      <c r="J74" s="8" t="str">
        <f aca="true">IF(F74="","",ROUND((IF(G74&lt;&gt;"",G74,NOW())-F74)*24,1))</f>
        <v/>
      </c>
      <c r="K74" s="9" t="str">
        <f aca="true">IF(I74="","",IF(IF(G74&lt;&gt;"",G74,NOW())&gt;I74,"Breached","Within SLA"))</f>
        <v/>
      </c>
    </row>
    <row r="75" customFormat="false" ht="15" hidden="false" customHeight="false" outlineLevel="0" collapsed="false">
      <c r="A75" s="4" t="s">
        <v>100</v>
      </c>
      <c r="B75" s="4"/>
      <c r="C75" s="4"/>
      <c r="D75" s="4"/>
      <c r="E75" s="4"/>
      <c r="F75" s="5"/>
      <c r="G75" s="5"/>
      <c r="H75" s="6" t="str">
        <f aca="false">IF(C75="","",INDEX(Settings!$B$4:$B$7,MATCH(C75,Settings!$A$4:$A$7,0)))</f>
        <v/>
      </c>
      <c r="I75" s="7" t="str">
        <f aca="false">IF(OR(F75="",H75=""),"",F75+H75/24)</f>
        <v/>
      </c>
      <c r="J75" s="8" t="str">
        <f aca="true">IF(F75="","",ROUND((IF(G75&lt;&gt;"",G75,NOW())-F75)*24,1))</f>
        <v/>
      </c>
      <c r="K75" s="9" t="str">
        <f aca="true">IF(I75="","",IF(IF(G75&lt;&gt;"",G75,NOW())&gt;I75,"Breached","Within SLA"))</f>
        <v/>
      </c>
    </row>
    <row r="76" customFormat="false" ht="15" hidden="false" customHeight="false" outlineLevel="0" collapsed="false">
      <c r="A76" s="4" t="s">
        <v>101</v>
      </c>
      <c r="B76" s="4"/>
      <c r="C76" s="4"/>
      <c r="D76" s="4"/>
      <c r="E76" s="4"/>
      <c r="F76" s="5"/>
      <c r="G76" s="5"/>
      <c r="H76" s="6" t="str">
        <f aca="false">IF(C76="","",INDEX(Settings!$B$4:$B$7,MATCH(C76,Settings!$A$4:$A$7,0)))</f>
        <v/>
      </c>
      <c r="I76" s="7" t="str">
        <f aca="false">IF(OR(F76="",H76=""),"",F76+H76/24)</f>
        <v/>
      </c>
      <c r="J76" s="8" t="str">
        <f aca="true">IF(F76="","",ROUND((IF(G76&lt;&gt;"",G76,NOW())-F76)*24,1))</f>
        <v/>
      </c>
      <c r="K76" s="9" t="str">
        <f aca="true">IF(I76="","",IF(IF(G76&lt;&gt;"",G76,NOW())&gt;I76,"Breached","Within SLA"))</f>
        <v/>
      </c>
    </row>
    <row r="77" customFormat="false" ht="15" hidden="false" customHeight="false" outlineLevel="0" collapsed="false">
      <c r="A77" s="4" t="s">
        <v>102</v>
      </c>
      <c r="B77" s="4"/>
      <c r="C77" s="4"/>
      <c r="D77" s="4"/>
      <c r="E77" s="4"/>
      <c r="F77" s="5"/>
      <c r="G77" s="5"/>
      <c r="H77" s="6" t="str">
        <f aca="false">IF(C77="","",INDEX(Settings!$B$4:$B$7,MATCH(C77,Settings!$A$4:$A$7,0)))</f>
        <v/>
      </c>
      <c r="I77" s="7" t="str">
        <f aca="false">IF(OR(F77="",H77=""),"",F77+H77/24)</f>
        <v/>
      </c>
      <c r="J77" s="8" t="str">
        <f aca="true">IF(F77="","",ROUND((IF(G77&lt;&gt;"",G77,NOW())-F77)*24,1))</f>
        <v/>
      </c>
      <c r="K77" s="9" t="str">
        <f aca="true">IF(I77="","",IF(IF(G77&lt;&gt;"",G77,NOW())&gt;I77,"Breached","Within SLA"))</f>
        <v/>
      </c>
    </row>
    <row r="78" customFormat="false" ht="15" hidden="false" customHeight="false" outlineLevel="0" collapsed="false">
      <c r="A78" s="4" t="s">
        <v>103</v>
      </c>
      <c r="B78" s="4"/>
      <c r="C78" s="4"/>
      <c r="D78" s="4"/>
      <c r="E78" s="4"/>
      <c r="F78" s="5"/>
      <c r="G78" s="5"/>
      <c r="H78" s="6" t="str">
        <f aca="false">IF(C78="","",INDEX(Settings!$B$4:$B$7,MATCH(C78,Settings!$A$4:$A$7,0)))</f>
        <v/>
      </c>
      <c r="I78" s="7" t="str">
        <f aca="false">IF(OR(F78="",H78=""),"",F78+H78/24)</f>
        <v/>
      </c>
      <c r="J78" s="8" t="str">
        <f aca="true">IF(F78="","",ROUND((IF(G78&lt;&gt;"",G78,NOW())-F78)*24,1))</f>
        <v/>
      </c>
      <c r="K78" s="9" t="str">
        <f aca="true">IF(I78="","",IF(IF(G78&lt;&gt;"",G78,NOW())&gt;I78,"Breached","Within SLA"))</f>
        <v/>
      </c>
    </row>
    <row r="79" customFormat="false" ht="15" hidden="false" customHeight="false" outlineLevel="0" collapsed="false">
      <c r="A79" s="4" t="s">
        <v>104</v>
      </c>
      <c r="B79" s="4"/>
      <c r="C79" s="4"/>
      <c r="D79" s="4"/>
      <c r="E79" s="4"/>
      <c r="F79" s="5"/>
      <c r="G79" s="5"/>
      <c r="H79" s="6" t="str">
        <f aca="false">IF(C79="","",INDEX(Settings!$B$4:$B$7,MATCH(C79,Settings!$A$4:$A$7,0)))</f>
        <v/>
      </c>
      <c r="I79" s="7" t="str">
        <f aca="false">IF(OR(F79="",H79=""),"",F79+H79/24)</f>
        <v/>
      </c>
      <c r="J79" s="8" t="str">
        <f aca="true">IF(F79="","",ROUND((IF(G79&lt;&gt;"",G79,NOW())-F79)*24,1))</f>
        <v/>
      </c>
      <c r="K79" s="9" t="str">
        <f aca="true">IF(I79="","",IF(IF(G79&lt;&gt;"",G79,NOW())&gt;I79,"Breached","Within SLA"))</f>
        <v/>
      </c>
    </row>
    <row r="80" customFormat="false" ht="15" hidden="false" customHeight="false" outlineLevel="0" collapsed="false">
      <c r="A80" s="4" t="s">
        <v>105</v>
      </c>
      <c r="B80" s="4"/>
      <c r="C80" s="4"/>
      <c r="D80" s="4"/>
      <c r="E80" s="4"/>
      <c r="F80" s="5"/>
      <c r="G80" s="5"/>
      <c r="H80" s="6" t="str">
        <f aca="false">IF(C80="","",INDEX(Settings!$B$4:$B$7,MATCH(C80,Settings!$A$4:$A$7,0)))</f>
        <v/>
      </c>
      <c r="I80" s="7" t="str">
        <f aca="false">IF(OR(F80="",H80=""),"",F80+H80/24)</f>
        <v/>
      </c>
      <c r="J80" s="8" t="str">
        <f aca="true">IF(F80="","",ROUND((IF(G80&lt;&gt;"",G80,NOW())-F80)*24,1))</f>
        <v/>
      </c>
      <c r="K80" s="9" t="str">
        <f aca="true">IF(I80="","",IF(IF(G80&lt;&gt;"",G80,NOW())&gt;I80,"Breached","Within SLA"))</f>
        <v/>
      </c>
    </row>
    <row r="81" customFormat="false" ht="15" hidden="false" customHeight="false" outlineLevel="0" collapsed="false">
      <c r="A81" s="4" t="s">
        <v>106</v>
      </c>
      <c r="B81" s="4"/>
      <c r="C81" s="4"/>
      <c r="D81" s="4"/>
      <c r="E81" s="4"/>
      <c r="F81" s="5"/>
      <c r="G81" s="5"/>
      <c r="H81" s="6" t="str">
        <f aca="false">IF(C81="","",INDEX(Settings!$B$4:$B$7,MATCH(C81,Settings!$A$4:$A$7,0)))</f>
        <v/>
      </c>
      <c r="I81" s="7" t="str">
        <f aca="false">IF(OR(F81="",H81=""),"",F81+H81/24)</f>
        <v/>
      </c>
      <c r="J81" s="8" t="str">
        <f aca="true">IF(F81="","",ROUND((IF(G81&lt;&gt;"",G81,NOW())-F81)*24,1))</f>
        <v/>
      </c>
      <c r="K81" s="9" t="str">
        <f aca="true">IF(I81="","",IF(IF(G81&lt;&gt;"",G81,NOW())&gt;I81,"Breached","Within SLA"))</f>
        <v/>
      </c>
    </row>
    <row r="82" customFormat="false" ht="15" hidden="false" customHeight="false" outlineLevel="0" collapsed="false">
      <c r="A82" s="4" t="s">
        <v>107</v>
      </c>
      <c r="B82" s="4"/>
      <c r="C82" s="4"/>
      <c r="D82" s="4"/>
      <c r="E82" s="4"/>
      <c r="F82" s="5"/>
      <c r="G82" s="5"/>
      <c r="H82" s="6" t="str">
        <f aca="false">IF(C82="","",INDEX(Settings!$B$4:$B$7,MATCH(C82,Settings!$A$4:$A$7,0)))</f>
        <v/>
      </c>
      <c r="I82" s="7" t="str">
        <f aca="false">IF(OR(F82="",H82=""),"",F82+H82/24)</f>
        <v/>
      </c>
      <c r="J82" s="8" t="str">
        <f aca="true">IF(F82="","",ROUND((IF(G82&lt;&gt;"",G82,NOW())-F82)*24,1))</f>
        <v/>
      </c>
      <c r="K82" s="9" t="str">
        <f aca="true">IF(I82="","",IF(IF(G82&lt;&gt;"",G82,NOW())&gt;I82,"Breached","Within SLA"))</f>
        <v/>
      </c>
    </row>
    <row r="83" customFormat="false" ht="15" hidden="false" customHeight="false" outlineLevel="0" collapsed="false">
      <c r="A83" s="4" t="s">
        <v>108</v>
      </c>
      <c r="B83" s="4"/>
      <c r="C83" s="4"/>
      <c r="D83" s="4"/>
      <c r="E83" s="4"/>
      <c r="F83" s="5"/>
      <c r="G83" s="5"/>
      <c r="H83" s="6" t="str">
        <f aca="false">IF(C83="","",INDEX(Settings!$B$4:$B$7,MATCH(C83,Settings!$A$4:$A$7,0)))</f>
        <v/>
      </c>
      <c r="I83" s="7" t="str">
        <f aca="false">IF(OR(F83="",H83=""),"",F83+H83/24)</f>
        <v/>
      </c>
      <c r="J83" s="8" t="str">
        <f aca="true">IF(F83="","",ROUND((IF(G83&lt;&gt;"",G83,NOW())-F83)*24,1))</f>
        <v/>
      </c>
      <c r="K83" s="9" t="str">
        <f aca="true">IF(I83="","",IF(IF(G83&lt;&gt;"",G83,NOW())&gt;I83,"Breached","Within SLA"))</f>
        <v/>
      </c>
    </row>
    <row r="84" customFormat="false" ht="15" hidden="false" customHeight="false" outlineLevel="0" collapsed="false">
      <c r="A84" s="4" t="s">
        <v>109</v>
      </c>
      <c r="B84" s="4"/>
      <c r="C84" s="4"/>
      <c r="D84" s="4"/>
      <c r="E84" s="4"/>
      <c r="F84" s="5"/>
      <c r="G84" s="5"/>
      <c r="H84" s="6" t="str">
        <f aca="false">IF(C84="","",INDEX(Settings!$B$4:$B$7,MATCH(C84,Settings!$A$4:$A$7,0)))</f>
        <v/>
      </c>
      <c r="I84" s="7" t="str">
        <f aca="false">IF(OR(F84="",H84=""),"",F84+H84/24)</f>
        <v/>
      </c>
      <c r="J84" s="8" t="str">
        <f aca="true">IF(F84="","",ROUND((IF(G84&lt;&gt;"",G84,NOW())-F84)*24,1))</f>
        <v/>
      </c>
      <c r="K84" s="9" t="str">
        <f aca="true">IF(I84="","",IF(IF(G84&lt;&gt;"",G84,NOW())&gt;I84,"Breached","Within SLA"))</f>
        <v/>
      </c>
    </row>
    <row r="85" customFormat="false" ht="15" hidden="false" customHeight="false" outlineLevel="0" collapsed="false">
      <c r="A85" s="4" t="s">
        <v>110</v>
      </c>
      <c r="B85" s="4"/>
      <c r="C85" s="4"/>
      <c r="D85" s="4"/>
      <c r="E85" s="4"/>
      <c r="F85" s="5"/>
      <c r="G85" s="5"/>
      <c r="H85" s="6" t="str">
        <f aca="false">IF(C85="","",INDEX(Settings!$B$4:$B$7,MATCH(C85,Settings!$A$4:$A$7,0)))</f>
        <v/>
      </c>
      <c r="I85" s="7" t="str">
        <f aca="false">IF(OR(F85="",H85=""),"",F85+H85/24)</f>
        <v/>
      </c>
      <c r="J85" s="8" t="str">
        <f aca="true">IF(F85="","",ROUND((IF(G85&lt;&gt;"",G85,NOW())-F85)*24,1))</f>
        <v/>
      </c>
      <c r="K85" s="9" t="str">
        <f aca="true">IF(I85="","",IF(IF(G85&lt;&gt;"",G85,NOW())&gt;I85,"Breached","Within SLA"))</f>
        <v/>
      </c>
    </row>
    <row r="86" customFormat="false" ht="15" hidden="false" customHeight="false" outlineLevel="0" collapsed="false">
      <c r="A86" s="4" t="s">
        <v>111</v>
      </c>
      <c r="B86" s="4"/>
      <c r="C86" s="4"/>
      <c r="D86" s="4"/>
      <c r="E86" s="4"/>
      <c r="F86" s="5"/>
      <c r="G86" s="5"/>
      <c r="H86" s="6" t="str">
        <f aca="false">IF(C86="","",INDEX(Settings!$B$4:$B$7,MATCH(C86,Settings!$A$4:$A$7,0)))</f>
        <v/>
      </c>
      <c r="I86" s="7" t="str">
        <f aca="false">IF(OR(F86="",H86=""),"",F86+H86/24)</f>
        <v/>
      </c>
      <c r="J86" s="8" t="str">
        <f aca="true">IF(F86="","",ROUND((IF(G86&lt;&gt;"",G86,NOW())-F86)*24,1))</f>
        <v/>
      </c>
      <c r="K86" s="9" t="str">
        <f aca="true">IF(I86="","",IF(IF(G86&lt;&gt;"",G86,NOW())&gt;I86,"Breached","Within SLA"))</f>
        <v/>
      </c>
    </row>
    <row r="87" customFormat="false" ht="15" hidden="false" customHeight="false" outlineLevel="0" collapsed="false">
      <c r="A87" s="4" t="s">
        <v>112</v>
      </c>
      <c r="B87" s="4"/>
      <c r="C87" s="4"/>
      <c r="D87" s="4"/>
      <c r="E87" s="4"/>
      <c r="F87" s="5"/>
      <c r="G87" s="5"/>
      <c r="H87" s="6" t="str">
        <f aca="false">IF(C87="","",INDEX(Settings!$B$4:$B$7,MATCH(C87,Settings!$A$4:$A$7,0)))</f>
        <v/>
      </c>
      <c r="I87" s="7" t="str">
        <f aca="false">IF(OR(F87="",H87=""),"",F87+H87/24)</f>
        <v/>
      </c>
      <c r="J87" s="8" t="str">
        <f aca="true">IF(F87="","",ROUND((IF(G87&lt;&gt;"",G87,NOW())-F87)*24,1))</f>
        <v/>
      </c>
      <c r="K87" s="9" t="str">
        <f aca="true">IF(I87="","",IF(IF(G87&lt;&gt;"",G87,NOW())&gt;I87,"Breached","Within SLA"))</f>
        <v/>
      </c>
    </row>
    <row r="88" customFormat="false" ht="15" hidden="false" customHeight="false" outlineLevel="0" collapsed="false">
      <c r="A88" s="4" t="s">
        <v>113</v>
      </c>
      <c r="B88" s="4"/>
      <c r="C88" s="4"/>
      <c r="D88" s="4"/>
      <c r="E88" s="4"/>
      <c r="F88" s="5"/>
      <c r="G88" s="5"/>
      <c r="H88" s="6" t="str">
        <f aca="false">IF(C88="","",INDEX(Settings!$B$4:$B$7,MATCH(C88,Settings!$A$4:$A$7,0)))</f>
        <v/>
      </c>
      <c r="I88" s="7" t="str">
        <f aca="false">IF(OR(F88="",H88=""),"",F88+H88/24)</f>
        <v/>
      </c>
      <c r="J88" s="8" t="str">
        <f aca="true">IF(F88="","",ROUND((IF(G88&lt;&gt;"",G88,NOW())-F88)*24,1))</f>
        <v/>
      </c>
      <c r="K88" s="9" t="str">
        <f aca="true">IF(I88="","",IF(IF(G88&lt;&gt;"",G88,NOW())&gt;I88,"Breached","Within SLA"))</f>
        <v/>
      </c>
    </row>
    <row r="89" customFormat="false" ht="15" hidden="false" customHeight="false" outlineLevel="0" collapsed="false">
      <c r="A89" s="4" t="s">
        <v>114</v>
      </c>
      <c r="B89" s="4"/>
      <c r="C89" s="4"/>
      <c r="D89" s="4"/>
      <c r="E89" s="4"/>
      <c r="F89" s="5"/>
      <c r="G89" s="5"/>
      <c r="H89" s="6" t="str">
        <f aca="false">IF(C89="","",INDEX(Settings!$B$4:$B$7,MATCH(C89,Settings!$A$4:$A$7,0)))</f>
        <v/>
      </c>
      <c r="I89" s="7" t="str">
        <f aca="false">IF(OR(F89="",H89=""),"",F89+H89/24)</f>
        <v/>
      </c>
      <c r="J89" s="8" t="str">
        <f aca="true">IF(F89="","",ROUND((IF(G89&lt;&gt;"",G89,NOW())-F89)*24,1))</f>
        <v/>
      </c>
      <c r="K89" s="9" t="str">
        <f aca="true">IF(I89="","",IF(IF(G89&lt;&gt;"",G89,NOW())&gt;I89,"Breached","Within SLA"))</f>
        <v/>
      </c>
    </row>
    <row r="90" customFormat="false" ht="15" hidden="false" customHeight="false" outlineLevel="0" collapsed="false">
      <c r="A90" s="4" t="s">
        <v>115</v>
      </c>
      <c r="B90" s="4"/>
      <c r="C90" s="4"/>
      <c r="D90" s="4"/>
      <c r="E90" s="4"/>
      <c r="F90" s="5"/>
      <c r="G90" s="5"/>
      <c r="H90" s="6" t="str">
        <f aca="false">IF(C90="","",INDEX(Settings!$B$4:$B$7,MATCH(C90,Settings!$A$4:$A$7,0)))</f>
        <v/>
      </c>
      <c r="I90" s="7" t="str">
        <f aca="false">IF(OR(F90="",H90=""),"",F90+H90/24)</f>
        <v/>
      </c>
      <c r="J90" s="8" t="str">
        <f aca="true">IF(F90="","",ROUND((IF(G90&lt;&gt;"",G90,NOW())-F90)*24,1))</f>
        <v/>
      </c>
      <c r="K90" s="9" t="str">
        <f aca="true">IF(I90="","",IF(IF(G90&lt;&gt;"",G90,NOW())&gt;I90,"Breached","Within SLA"))</f>
        <v/>
      </c>
    </row>
    <row r="91" customFormat="false" ht="15" hidden="false" customHeight="false" outlineLevel="0" collapsed="false">
      <c r="A91" s="4" t="s">
        <v>116</v>
      </c>
      <c r="B91" s="4"/>
      <c r="C91" s="4"/>
      <c r="D91" s="4"/>
      <c r="E91" s="4"/>
      <c r="F91" s="5"/>
      <c r="G91" s="5"/>
      <c r="H91" s="6" t="str">
        <f aca="false">IF(C91="","",INDEX(Settings!$B$4:$B$7,MATCH(C91,Settings!$A$4:$A$7,0)))</f>
        <v/>
      </c>
      <c r="I91" s="7" t="str">
        <f aca="false">IF(OR(F91="",H91=""),"",F91+H91/24)</f>
        <v/>
      </c>
      <c r="J91" s="8" t="str">
        <f aca="true">IF(F91="","",ROUND((IF(G91&lt;&gt;"",G91,NOW())-F91)*24,1))</f>
        <v/>
      </c>
      <c r="K91" s="9" t="str">
        <f aca="true">IF(I91="","",IF(IF(G91&lt;&gt;"",G91,NOW())&gt;I91,"Breached","Within SLA"))</f>
        <v/>
      </c>
    </row>
    <row r="92" customFormat="false" ht="15" hidden="false" customHeight="false" outlineLevel="0" collapsed="false">
      <c r="A92" s="4" t="s">
        <v>117</v>
      </c>
      <c r="B92" s="4"/>
      <c r="C92" s="4"/>
      <c r="D92" s="4"/>
      <c r="E92" s="4"/>
      <c r="F92" s="5"/>
      <c r="G92" s="5"/>
      <c r="H92" s="6" t="str">
        <f aca="false">IF(C92="","",INDEX(Settings!$B$4:$B$7,MATCH(C92,Settings!$A$4:$A$7,0)))</f>
        <v/>
      </c>
      <c r="I92" s="7" t="str">
        <f aca="false">IF(OR(F92="",H92=""),"",F92+H92/24)</f>
        <v/>
      </c>
      <c r="J92" s="8" t="str">
        <f aca="true">IF(F92="","",ROUND((IF(G92&lt;&gt;"",G92,NOW())-F92)*24,1))</f>
        <v/>
      </c>
      <c r="K92" s="9" t="str">
        <f aca="true">IF(I92="","",IF(IF(G92&lt;&gt;"",G92,NOW())&gt;I92,"Breached","Within SLA"))</f>
        <v/>
      </c>
    </row>
    <row r="93" customFormat="false" ht="15" hidden="false" customHeight="false" outlineLevel="0" collapsed="false">
      <c r="A93" s="4" t="s">
        <v>118</v>
      </c>
      <c r="B93" s="4"/>
      <c r="C93" s="4"/>
      <c r="D93" s="4"/>
      <c r="E93" s="4"/>
      <c r="F93" s="5"/>
      <c r="G93" s="5"/>
      <c r="H93" s="6" t="str">
        <f aca="false">IF(C93="","",INDEX(Settings!$B$4:$B$7,MATCH(C93,Settings!$A$4:$A$7,0)))</f>
        <v/>
      </c>
      <c r="I93" s="7" t="str">
        <f aca="false">IF(OR(F93="",H93=""),"",F93+H93/24)</f>
        <v/>
      </c>
      <c r="J93" s="8" t="str">
        <f aca="true">IF(F93="","",ROUND((IF(G93&lt;&gt;"",G93,NOW())-F93)*24,1))</f>
        <v/>
      </c>
      <c r="K93" s="9" t="str">
        <f aca="true">IF(I93="","",IF(IF(G93&lt;&gt;"",G93,NOW())&gt;I93,"Breached","Within SLA"))</f>
        <v/>
      </c>
    </row>
    <row r="94" customFormat="false" ht="15" hidden="false" customHeight="false" outlineLevel="0" collapsed="false">
      <c r="A94" s="4" t="s">
        <v>119</v>
      </c>
      <c r="B94" s="4"/>
      <c r="C94" s="4"/>
      <c r="D94" s="4"/>
      <c r="E94" s="4"/>
      <c r="F94" s="5"/>
      <c r="G94" s="5"/>
      <c r="H94" s="6" t="str">
        <f aca="false">IF(C94="","",INDEX(Settings!$B$4:$B$7,MATCH(C94,Settings!$A$4:$A$7,0)))</f>
        <v/>
      </c>
      <c r="I94" s="7" t="str">
        <f aca="false">IF(OR(F94="",H94=""),"",F94+H94/24)</f>
        <v/>
      </c>
      <c r="J94" s="8" t="str">
        <f aca="true">IF(F94="","",ROUND((IF(G94&lt;&gt;"",G94,NOW())-F94)*24,1))</f>
        <v/>
      </c>
      <c r="K94" s="9" t="str">
        <f aca="true">IF(I94="","",IF(IF(G94&lt;&gt;"",G94,NOW())&gt;I94,"Breached","Within SLA"))</f>
        <v/>
      </c>
    </row>
    <row r="95" customFormat="false" ht="15" hidden="false" customHeight="false" outlineLevel="0" collapsed="false">
      <c r="A95" s="4" t="s">
        <v>120</v>
      </c>
      <c r="B95" s="4"/>
      <c r="C95" s="4"/>
      <c r="D95" s="4"/>
      <c r="E95" s="4"/>
      <c r="F95" s="5"/>
      <c r="G95" s="5"/>
      <c r="H95" s="6" t="str">
        <f aca="false">IF(C95="","",INDEX(Settings!$B$4:$B$7,MATCH(C95,Settings!$A$4:$A$7,0)))</f>
        <v/>
      </c>
      <c r="I95" s="7" t="str">
        <f aca="false">IF(OR(F95="",H95=""),"",F95+H95/24)</f>
        <v/>
      </c>
      <c r="J95" s="8" t="str">
        <f aca="true">IF(F95="","",ROUND((IF(G95&lt;&gt;"",G95,NOW())-F95)*24,1))</f>
        <v/>
      </c>
      <c r="K95" s="9" t="str">
        <f aca="true">IF(I95="","",IF(IF(G95&lt;&gt;"",G95,NOW())&gt;I95,"Breached","Within SLA"))</f>
        <v/>
      </c>
    </row>
    <row r="96" customFormat="false" ht="15" hidden="false" customHeight="false" outlineLevel="0" collapsed="false">
      <c r="A96" s="4" t="s">
        <v>121</v>
      </c>
      <c r="B96" s="4"/>
      <c r="C96" s="4"/>
      <c r="D96" s="4"/>
      <c r="E96" s="4"/>
      <c r="F96" s="5"/>
      <c r="G96" s="5"/>
      <c r="H96" s="6" t="str">
        <f aca="false">IF(C96="","",INDEX(Settings!$B$4:$B$7,MATCH(C96,Settings!$A$4:$A$7,0)))</f>
        <v/>
      </c>
      <c r="I96" s="7" t="str">
        <f aca="false">IF(OR(F96="",H96=""),"",F96+H96/24)</f>
        <v/>
      </c>
      <c r="J96" s="8" t="str">
        <f aca="true">IF(F96="","",ROUND((IF(G96&lt;&gt;"",G96,NOW())-F96)*24,1))</f>
        <v/>
      </c>
      <c r="K96" s="9" t="str">
        <f aca="true">IF(I96="","",IF(IF(G96&lt;&gt;"",G96,NOW())&gt;I96,"Breached","Within SLA"))</f>
        <v/>
      </c>
    </row>
    <row r="97" customFormat="false" ht="15" hidden="false" customHeight="false" outlineLevel="0" collapsed="false">
      <c r="A97" s="4" t="s">
        <v>122</v>
      </c>
      <c r="B97" s="4"/>
      <c r="C97" s="4"/>
      <c r="D97" s="4"/>
      <c r="E97" s="4"/>
      <c r="F97" s="5"/>
      <c r="G97" s="5"/>
      <c r="H97" s="6" t="str">
        <f aca="false">IF(C97="","",INDEX(Settings!$B$4:$B$7,MATCH(C97,Settings!$A$4:$A$7,0)))</f>
        <v/>
      </c>
      <c r="I97" s="7" t="str">
        <f aca="false">IF(OR(F97="",H97=""),"",F97+H97/24)</f>
        <v/>
      </c>
      <c r="J97" s="8" t="str">
        <f aca="true">IF(F97="","",ROUND((IF(G97&lt;&gt;"",G97,NOW())-F97)*24,1))</f>
        <v/>
      </c>
      <c r="K97" s="9" t="str">
        <f aca="true">IF(I97="","",IF(IF(G97&lt;&gt;"",G97,NOW())&gt;I97,"Breached","Within SLA"))</f>
        <v/>
      </c>
    </row>
    <row r="98" customFormat="false" ht="15" hidden="false" customHeight="false" outlineLevel="0" collapsed="false">
      <c r="A98" s="4" t="s">
        <v>123</v>
      </c>
      <c r="B98" s="4"/>
      <c r="C98" s="4"/>
      <c r="D98" s="4"/>
      <c r="E98" s="4"/>
      <c r="F98" s="5"/>
      <c r="G98" s="5"/>
      <c r="H98" s="6" t="str">
        <f aca="false">IF(C98="","",INDEX(Settings!$B$4:$B$7,MATCH(C98,Settings!$A$4:$A$7,0)))</f>
        <v/>
      </c>
      <c r="I98" s="7" t="str">
        <f aca="false">IF(OR(F98="",H98=""),"",F98+H98/24)</f>
        <v/>
      </c>
      <c r="J98" s="8" t="str">
        <f aca="true">IF(F98="","",ROUND((IF(G98&lt;&gt;"",G98,NOW())-F98)*24,1))</f>
        <v/>
      </c>
      <c r="K98" s="9" t="str">
        <f aca="true">IF(I98="","",IF(IF(G98&lt;&gt;"",G98,NOW())&gt;I98,"Breached","Within SLA"))</f>
        <v/>
      </c>
    </row>
    <row r="99" customFormat="false" ht="15" hidden="false" customHeight="false" outlineLevel="0" collapsed="false">
      <c r="A99" s="4" t="s">
        <v>124</v>
      </c>
      <c r="B99" s="4"/>
      <c r="C99" s="4"/>
      <c r="D99" s="4"/>
      <c r="E99" s="4"/>
      <c r="F99" s="5"/>
      <c r="G99" s="5"/>
      <c r="H99" s="6" t="str">
        <f aca="false">IF(C99="","",INDEX(Settings!$B$4:$B$7,MATCH(C99,Settings!$A$4:$A$7,0)))</f>
        <v/>
      </c>
      <c r="I99" s="7" t="str">
        <f aca="false">IF(OR(F99="",H99=""),"",F99+H99/24)</f>
        <v/>
      </c>
      <c r="J99" s="8" t="str">
        <f aca="true">IF(F99="","",ROUND((IF(G99&lt;&gt;"",G99,NOW())-F99)*24,1))</f>
        <v/>
      </c>
      <c r="K99" s="9" t="str">
        <f aca="true">IF(I99="","",IF(IF(G99&lt;&gt;"",G99,NOW())&gt;I99,"Breached","Within SLA"))</f>
        <v/>
      </c>
    </row>
    <row r="100" customFormat="false" ht="15" hidden="false" customHeight="false" outlineLevel="0" collapsed="false">
      <c r="A100" s="4" t="s">
        <v>125</v>
      </c>
      <c r="B100" s="4"/>
      <c r="C100" s="4"/>
      <c r="D100" s="4"/>
      <c r="E100" s="4"/>
      <c r="F100" s="5"/>
      <c r="G100" s="5"/>
      <c r="H100" s="6" t="str">
        <f aca="false">IF(C100="","",INDEX(Settings!$B$4:$B$7,MATCH(C100,Settings!$A$4:$A$7,0)))</f>
        <v/>
      </c>
      <c r="I100" s="7" t="str">
        <f aca="false">IF(OR(F100="",H100=""),"",F100+H100/24)</f>
        <v/>
      </c>
      <c r="J100" s="8" t="str">
        <f aca="true">IF(F100="","",ROUND((IF(G100&lt;&gt;"",G100,NOW())-F100)*24,1))</f>
        <v/>
      </c>
      <c r="K100" s="9" t="str">
        <f aca="true">IF(I100="","",IF(IF(G100&lt;&gt;"",G100,NOW())&gt;I100,"Breached","Within SLA"))</f>
        <v/>
      </c>
    </row>
    <row r="101" customFormat="false" ht="15" hidden="false" customHeight="false" outlineLevel="0" collapsed="false">
      <c r="A101" s="4" t="s">
        <v>126</v>
      </c>
      <c r="B101" s="4"/>
      <c r="C101" s="4"/>
      <c r="D101" s="4"/>
      <c r="E101" s="4"/>
      <c r="F101" s="5"/>
      <c r="G101" s="5"/>
      <c r="H101" s="6" t="str">
        <f aca="false">IF(C101="","",INDEX(Settings!$B$4:$B$7,MATCH(C101,Settings!$A$4:$A$7,0)))</f>
        <v/>
      </c>
      <c r="I101" s="7" t="str">
        <f aca="false">IF(OR(F101="",H101=""),"",F101+H101/24)</f>
        <v/>
      </c>
      <c r="J101" s="8" t="str">
        <f aca="true">IF(F101="","",ROUND((IF(G101&lt;&gt;"",G101,NOW())-F101)*24,1))</f>
        <v/>
      </c>
      <c r="K101" s="9" t="str">
        <f aca="true">IF(I101="","",IF(IF(G101&lt;&gt;"",G101,NOW())&gt;I101,"Breached","Within SLA"))</f>
        <v/>
      </c>
    </row>
    <row r="102" customFormat="false" ht="15" hidden="false" customHeight="false" outlineLevel="0" collapsed="false">
      <c r="A102" s="4" t="s">
        <v>127</v>
      </c>
      <c r="B102" s="4"/>
      <c r="C102" s="4"/>
      <c r="D102" s="4"/>
      <c r="E102" s="4"/>
      <c r="F102" s="5"/>
      <c r="G102" s="5"/>
      <c r="H102" s="6" t="str">
        <f aca="false">IF(C102="","",INDEX(Settings!$B$4:$B$7,MATCH(C102,Settings!$A$4:$A$7,0)))</f>
        <v/>
      </c>
      <c r="I102" s="7" t="str">
        <f aca="false">IF(OR(F102="",H102=""),"",F102+H102/24)</f>
        <v/>
      </c>
      <c r="J102" s="8" t="str">
        <f aca="true">IF(F102="","",ROUND((IF(G102&lt;&gt;"",G102,NOW())-F102)*24,1))</f>
        <v/>
      </c>
      <c r="K102" s="9" t="str">
        <f aca="true">IF(I102="","",IF(IF(G102&lt;&gt;"",G102,NOW())&gt;I102,"Breached","Within SLA"))</f>
        <v/>
      </c>
    </row>
    <row r="103" customFormat="false" ht="15" hidden="false" customHeight="false" outlineLevel="0" collapsed="false">
      <c r="A103" s="4" t="s">
        <v>128</v>
      </c>
      <c r="B103" s="4"/>
      <c r="C103" s="4"/>
      <c r="D103" s="4"/>
      <c r="E103" s="4"/>
      <c r="F103" s="5"/>
      <c r="G103" s="5"/>
      <c r="H103" s="6" t="str">
        <f aca="false">IF(C103="","",INDEX(Settings!$B$4:$B$7,MATCH(C103,Settings!$A$4:$A$7,0)))</f>
        <v/>
      </c>
      <c r="I103" s="7" t="str">
        <f aca="false">IF(OR(F103="",H103=""),"",F103+H103/24)</f>
        <v/>
      </c>
      <c r="J103" s="8" t="str">
        <f aca="true">IF(F103="","",ROUND((IF(G103&lt;&gt;"",G103,NOW())-F103)*24,1))</f>
        <v/>
      </c>
      <c r="K103" s="9" t="str">
        <f aca="true">IF(I103="","",IF(IF(G103&lt;&gt;"",G103,NOW())&gt;I103,"Breached","Within SLA"))</f>
        <v/>
      </c>
    </row>
    <row r="104" customFormat="false" ht="15" hidden="false" customHeight="false" outlineLevel="0" collapsed="false">
      <c r="A104" s="4" t="s">
        <v>129</v>
      </c>
      <c r="B104" s="4"/>
      <c r="C104" s="4"/>
      <c r="D104" s="4"/>
      <c r="E104" s="4"/>
      <c r="F104" s="5"/>
      <c r="G104" s="5"/>
      <c r="H104" s="6" t="str">
        <f aca="false">IF(C104="","",INDEX(Settings!$B$4:$B$7,MATCH(C104,Settings!$A$4:$A$7,0)))</f>
        <v/>
      </c>
      <c r="I104" s="7" t="str">
        <f aca="false">IF(OR(F104="",H104=""),"",F104+H104/24)</f>
        <v/>
      </c>
      <c r="J104" s="8" t="str">
        <f aca="true">IF(F104="","",ROUND((IF(G104&lt;&gt;"",G104,NOW())-F104)*24,1))</f>
        <v/>
      </c>
      <c r="K104" s="9" t="str">
        <f aca="true">IF(I104="","",IF(IF(G104&lt;&gt;"",G104,NOW())&gt;I104,"Breached","Within SLA"))</f>
        <v/>
      </c>
    </row>
  </sheetData>
  <autoFilter ref="A4:K104"/>
  <conditionalFormatting sqref="K5:K104">
    <cfRule type="expression" priority="2" aboveAverage="0" equalAverage="0" bottom="0" percent="0" rank="0" text="" dxfId="7">
      <formula>K5="Breached"</formula>
    </cfRule>
    <cfRule type="expression" priority="3" aboveAverage="0" equalAverage="0" bottom="0" percent="0" rank="0" text="" dxfId="8">
      <formula>K5="Within SLA"</formula>
    </cfRule>
  </conditionalFormatting>
  <dataValidations count="3">
    <dataValidation allowBlank="true" errorStyle="stop" operator="between" showDropDown="false" showErrorMessage="false" showInputMessage="false" sqref="C5:C104" type="list">
      <formula1>"P1,P2,P3,P4"</formula1>
      <formula2>0</formula2>
    </dataValidation>
    <dataValidation allowBlank="true" errorStyle="stop" operator="between" showDropDown="false" showErrorMessage="false" showInputMessage="false" sqref="D5:D104" type="list">
      <formula1>"Open,In Progress,Resolved"</formula1>
      <formula2>0</formula2>
    </dataValidation>
    <dataValidation allowBlank="true" errorStyle="stop" operator="between" showDropDown="false" showErrorMessage="false" showInputMessage="false" sqref="E5:E104" type="list">
      <formula1>Settings!$A$12:$A$15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130</v>
      </c>
    </row>
    <row r="3" customFormat="false" ht="15" hidden="false" customHeight="false" outlineLevel="0" collapsed="false">
      <c r="A3" s="10" t="s">
        <v>131</v>
      </c>
      <c r="B3" s="11" t="n">
        <f aca="false">COUNTA(Tickets!$B$5:$B$104)</f>
        <v>6</v>
      </c>
    </row>
    <row r="4" customFormat="false" ht="15" hidden="false" customHeight="false" outlineLevel="0" collapsed="false">
      <c r="A4" s="10" t="s">
        <v>35</v>
      </c>
      <c r="B4" s="11" t="n">
        <f aca="false">COUNTIF(Tickets!$D$5:$D$104,"Open")</f>
        <v>1</v>
      </c>
    </row>
    <row r="5" customFormat="false" ht="15" hidden="false" customHeight="false" outlineLevel="0" collapsed="false">
      <c r="A5" s="10" t="s">
        <v>31</v>
      </c>
      <c r="B5" s="11" t="n">
        <f aca="false">COUNTIF(Tickets!$D$5:$D$104,"In Progress")</f>
        <v>1</v>
      </c>
    </row>
    <row r="6" customFormat="false" ht="15" hidden="false" customHeight="false" outlineLevel="0" collapsed="false">
      <c r="A6" s="10" t="s">
        <v>16</v>
      </c>
      <c r="B6" s="11" t="n">
        <f aca="false">COUNTIF(Tickets!$D$5:$D$104,"Resolved")</f>
        <v>4</v>
      </c>
    </row>
    <row r="7" customFormat="false" ht="15" hidden="false" customHeight="false" outlineLevel="0" collapsed="false">
      <c r="A7" s="10" t="s">
        <v>132</v>
      </c>
      <c r="B7" s="11" t="n">
        <f aca="false">COUNTIF(Tickets!$K$5:$K$104,"Breached")</f>
        <v>3</v>
      </c>
    </row>
    <row r="8" customFormat="false" ht="15" hidden="false" customHeight="false" outlineLevel="0" collapsed="false">
      <c r="A8" s="10" t="s">
        <v>133</v>
      </c>
      <c r="B8" s="12" t="n">
        <f aca="false">IF(B3=0,0,1-B7/B3)</f>
        <v>0.5</v>
      </c>
    </row>
    <row r="11" customFormat="false" ht="30" hidden="false" customHeight="true" outlineLevel="0" collapsed="false">
      <c r="A11" s="13" t="s">
        <v>4</v>
      </c>
      <c r="B11" s="13" t="s">
        <v>134</v>
      </c>
      <c r="C11" s="13" t="s">
        <v>135</v>
      </c>
      <c r="D11" s="13" t="s">
        <v>136</v>
      </c>
      <c r="E11" s="13" t="s">
        <v>137</v>
      </c>
    </row>
    <row r="12" customFormat="false" ht="15" hidden="false" customHeight="false" outlineLevel="0" collapsed="false">
      <c r="A12" s="6" t="s">
        <v>15</v>
      </c>
      <c r="B12" s="6" t="n">
        <f aca="false">COUNTIF(Tickets!$C$5:$C$104,A12)</f>
        <v>2</v>
      </c>
      <c r="C12" s="6" t="n">
        <f aca="false">COUNTIFS(Tickets!$C$5:$C$104,A12,Tickets!$K$5:$K$104,"Breached")</f>
        <v>1</v>
      </c>
      <c r="D12" s="8" t="n">
        <f aca="false">IFERROR(AVERAGEIFS(Tickets!$J$5:$J$104,Tickets!$C$5:$C$104,A12,Tickets!$D$5:$D$104,"Resolved"),"-")</f>
        <v>1.6</v>
      </c>
      <c r="E12" s="6" t="n">
        <f aca="false">Settings!B4</f>
        <v>1</v>
      </c>
    </row>
    <row r="13" customFormat="false" ht="15" hidden="false" customHeight="false" outlineLevel="0" collapsed="false">
      <c r="A13" s="6" t="s">
        <v>30</v>
      </c>
      <c r="B13" s="6" t="n">
        <f aca="false">COUNTIF(Tickets!$C$5:$C$104,A13)</f>
        <v>1</v>
      </c>
      <c r="C13" s="6" t="n">
        <f aca="false">COUNTIFS(Tickets!$C$5:$C$104,A13,Tickets!$K$5:$K$104,"Breached")</f>
        <v>1</v>
      </c>
      <c r="D13" s="8" t="str">
        <f aca="false">IFERROR(AVERAGEIFS(Tickets!$J$5:$J$104,Tickets!$C$5:$C$104,A13,Tickets!$D$5:$D$104,"Resolved"),"-")</f>
        <v>-</v>
      </c>
      <c r="E13" s="6" t="n">
        <f aca="false">Settings!B5</f>
        <v>4</v>
      </c>
    </row>
    <row r="14" customFormat="false" ht="15" hidden="false" customHeight="false" outlineLevel="0" collapsed="false">
      <c r="A14" s="6" t="s">
        <v>20</v>
      </c>
      <c r="B14" s="6" t="n">
        <f aca="false">COUNTIF(Tickets!$C$5:$C$104,A14)</f>
        <v>2</v>
      </c>
      <c r="C14" s="6" t="n">
        <f aca="false">COUNTIFS(Tickets!$C$5:$C$104,A14,Tickets!$K$5:$K$104,"Breached")</f>
        <v>1</v>
      </c>
      <c r="D14" s="8" t="n">
        <f aca="false">IFERROR(AVERAGEIFS(Tickets!$J$5:$J$104,Tickets!$C$5:$C$104,A14,Tickets!$D$5:$D$104,"Resolved"),"-")</f>
        <v>9.8</v>
      </c>
      <c r="E14" s="6" t="n">
        <f aca="false">Settings!B6</f>
        <v>8</v>
      </c>
    </row>
    <row r="15" customFormat="false" ht="15" hidden="false" customHeight="false" outlineLevel="0" collapsed="false">
      <c r="A15" s="6" t="s">
        <v>24</v>
      </c>
      <c r="B15" s="6" t="n">
        <f aca="false">COUNTIF(Tickets!$C$5:$C$104,A15)</f>
        <v>1</v>
      </c>
      <c r="C15" s="6" t="n">
        <f aca="false">COUNTIFS(Tickets!$C$5:$C$104,A15,Tickets!$K$5:$K$104,"Breached")</f>
        <v>0</v>
      </c>
      <c r="D15" s="8" t="n">
        <f aca="false">IFERROR(AVERAGEIFS(Tickets!$J$5:$J$104,Tickets!$C$5:$C$104,A15,Tickets!$D$5:$D$104,"Resolved"),"-")</f>
        <v>22.5</v>
      </c>
      <c r="E15" s="6" t="n">
        <f aca="false">Settings!B7</f>
        <v>24</v>
      </c>
    </row>
    <row r="18" customFormat="false" ht="15" hidden="false" customHeight="false" outlineLevel="0" collapsed="false">
      <c r="A18" s="14" t="s">
        <v>138</v>
      </c>
      <c r="B18" s="14" t="s">
        <v>139</v>
      </c>
    </row>
    <row r="19" customFormat="false" ht="15" hidden="false" customHeight="false" outlineLevel="0" collapsed="false">
      <c r="A19" s="6" t="str">
        <f aca="false">Settings!A12</f>
        <v>Asha</v>
      </c>
      <c r="B19" s="6" t="n">
        <f aca="false">COUNTIFS(Tickets!$E$5:$E$104,A19,Tickets!$D$5:$D$104,"&lt;&gt;Resolved")</f>
        <v>0</v>
      </c>
    </row>
    <row r="20" customFormat="false" ht="15" hidden="false" customHeight="false" outlineLevel="0" collapsed="false">
      <c r="A20" s="6" t="str">
        <f aca="false">Settings!A13</f>
        <v>Ravi</v>
      </c>
      <c r="B20" s="6" t="n">
        <f aca="false">COUNTIFS(Tickets!$E$5:$E$104,A20,Tickets!$D$5:$D$104,"&lt;&gt;Resolved")</f>
        <v>1</v>
      </c>
    </row>
    <row r="21" customFormat="false" ht="15" hidden="false" customHeight="false" outlineLevel="0" collapsed="false">
      <c r="A21" s="6" t="str">
        <f aca="false">Settings!A14</f>
        <v>Meera</v>
      </c>
      <c r="B21" s="6" t="n">
        <f aca="false">COUNTIFS(Tickets!$E$5:$E$104,A21,Tickets!$D$5:$D$104,"&lt;&gt;Resolved")</f>
        <v>0</v>
      </c>
    </row>
    <row r="22" customFormat="false" ht="15" hidden="false" customHeight="false" outlineLevel="0" collapsed="false">
      <c r="A22" s="6" t="str">
        <f aca="false">Settings!A15</f>
        <v>Kiran</v>
      </c>
      <c r="B22" s="6" t="n">
        <f aca="false">COUNTIFS(Tickets!$E$5:$E$104,A22,Tickets!$D$5:$D$104,"&lt;&gt;Resolved")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5" t="s">
        <v>140</v>
      </c>
    </row>
    <row r="3" customFormat="false" ht="15" hidden="false" customHeight="false" outlineLevel="0" collapsed="false">
      <c r="A3" s="14" t="s">
        <v>4</v>
      </c>
      <c r="B3" s="14" t="s">
        <v>141</v>
      </c>
      <c r="C3" s="14" t="s">
        <v>142</v>
      </c>
    </row>
    <row r="4" customFormat="false" ht="15" hidden="false" customHeight="false" outlineLevel="0" collapsed="false">
      <c r="A4" s="6" t="s">
        <v>15</v>
      </c>
      <c r="B4" s="16" t="n">
        <v>1</v>
      </c>
      <c r="C4" s="6" t="s">
        <v>143</v>
      </c>
    </row>
    <row r="5" customFormat="false" ht="15" hidden="false" customHeight="false" outlineLevel="0" collapsed="false">
      <c r="A5" s="6" t="s">
        <v>30</v>
      </c>
      <c r="B5" s="16" t="n">
        <v>4</v>
      </c>
      <c r="C5" s="6" t="s">
        <v>144</v>
      </c>
    </row>
    <row r="6" customFormat="false" ht="15" hidden="false" customHeight="false" outlineLevel="0" collapsed="false">
      <c r="A6" s="6" t="s">
        <v>20</v>
      </c>
      <c r="B6" s="16" t="n">
        <v>8</v>
      </c>
      <c r="C6" s="6" t="s">
        <v>145</v>
      </c>
    </row>
    <row r="7" customFormat="false" ht="15" hidden="false" customHeight="false" outlineLevel="0" collapsed="false">
      <c r="A7" s="6" t="s">
        <v>24</v>
      </c>
      <c r="B7" s="16" t="n">
        <v>24</v>
      </c>
      <c r="C7" s="6" t="s">
        <v>146</v>
      </c>
    </row>
    <row r="9" customFormat="false" ht="15" hidden="false" customHeight="false" outlineLevel="0" collapsed="false">
      <c r="A9" s="2" t="s">
        <v>147</v>
      </c>
    </row>
    <row r="11" customFormat="false" ht="15" hidden="false" customHeight="false" outlineLevel="0" collapsed="false">
      <c r="A11" s="10" t="s">
        <v>148</v>
      </c>
    </row>
    <row r="12" customFormat="false" ht="15" hidden="false" customHeight="false" outlineLevel="0" collapsed="false">
      <c r="A12" s="17" t="s">
        <v>17</v>
      </c>
    </row>
    <row r="13" customFormat="false" ht="15" hidden="false" customHeight="false" outlineLevel="0" collapsed="false">
      <c r="A13" s="17" t="s">
        <v>32</v>
      </c>
    </row>
    <row r="14" customFormat="false" ht="15" hidden="false" customHeight="false" outlineLevel="0" collapsed="false">
      <c r="A14" s="17" t="s">
        <v>21</v>
      </c>
    </row>
    <row r="15" customFormat="false" ht="15" hidden="false" customHeight="false" outlineLevel="0" collapsed="false">
      <c r="A15" s="1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8" t="s">
        <v>149</v>
      </c>
    </row>
    <row r="2" customFormat="false" ht="15" hidden="false" customHeight="false" outlineLevel="0" collapsed="false">
      <c r="A2" s="19" t="s">
        <v>150</v>
      </c>
    </row>
    <row r="3" customFormat="false" ht="15" hidden="false" customHeight="false" outlineLevel="0" collapsed="false">
      <c r="A3" s="19" t="s">
        <v>151</v>
      </c>
    </row>
    <row r="4" customFormat="false" ht="15" hidden="false" customHeight="false" outlineLevel="0" collapsed="false">
      <c r="A4" s="19" t="s">
        <v>152</v>
      </c>
    </row>
    <row r="5" customFormat="false" ht="15" hidden="false" customHeight="false" outlineLevel="0" collapsed="false">
      <c r="A5" s="19"/>
    </row>
    <row r="6" customFormat="false" ht="15" hidden="false" customHeight="false" outlineLevel="0" collapsed="false">
      <c r="A6" s="18" t="s">
        <v>153</v>
      </c>
    </row>
    <row r="7" customFormat="false" ht="15" hidden="false" customHeight="false" outlineLevel="0" collapsed="false">
      <c r="A7" s="19" t="s">
        <v>154</v>
      </c>
    </row>
    <row r="8" customFormat="false" ht="15" hidden="false" customHeight="false" outlineLevel="0" collapsed="false">
      <c r="A8" s="19" t="s">
        <v>155</v>
      </c>
    </row>
    <row r="9" customFormat="false" ht="15" hidden="false" customHeight="false" outlineLevel="0" collapsed="false">
      <c r="A9" s="19" t="s">
        <v>156</v>
      </c>
    </row>
    <row r="10" customFormat="false" ht="15" hidden="false" customHeight="false" outlineLevel="0" collapsed="false">
      <c r="A10" s="19" t="s">
        <v>157</v>
      </c>
    </row>
    <row r="11" customFormat="false" ht="15" hidden="false" customHeight="false" outlineLevel="0" collapsed="false">
      <c r="A11" s="19"/>
    </row>
    <row r="12" customFormat="false" ht="15" hidden="false" customHeight="false" outlineLevel="0" collapsed="false">
      <c r="A12" s="18" t="s">
        <v>158</v>
      </c>
    </row>
    <row r="13" customFormat="false" ht="15" hidden="false" customHeight="false" outlineLevel="0" collapsed="false">
      <c r="A13" s="19" t="s">
        <v>159</v>
      </c>
    </row>
    <row r="14" customFormat="false" ht="15" hidden="false" customHeight="false" outlineLevel="0" collapsed="false">
      <c r="A14" s="19" t="s">
        <v>160</v>
      </c>
    </row>
    <row r="15" customFormat="false" ht="15" hidden="false" customHeight="false" outlineLevel="0" collapsed="false">
      <c r="A15" s="19" t="s">
        <v>161</v>
      </c>
    </row>
    <row r="16" customFormat="false" ht="15" hidden="false" customHeight="false" outlineLevel="0" collapsed="false">
      <c r="A16" s="19" t="s">
        <v>162</v>
      </c>
    </row>
    <row r="17" customFormat="false" ht="15" hidden="false" customHeight="false" outlineLevel="0" collapsed="false">
      <c r="A17" s="19"/>
    </row>
    <row r="18" customFormat="false" ht="15" hidden="false" customHeight="false" outlineLevel="0" collapsed="false">
      <c r="A18" s="18" t="s">
        <v>163</v>
      </c>
    </row>
    <row r="19" customFormat="false" ht="15" hidden="false" customHeight="false" outlineLevel="0" collapsed="false">
      <c r="A19" s="19" t="s">
        <v>164</v>
      </c>
    </row>
    <row r="20" customFormat="false" ht="15" hidden="false" customHeight="false" outlineLevel="0" collapsed="false">
      <c r="A20" s="19"/>
    </row>
    <row r="21" customFormat="false" ht="15" hidden="false" customHeight="false" outlineLevel="0" collapsed="false">
      <c r="A21" s="19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2026-10-24T14:04:44Z</dcterms:created>
  <dc:creator>openpyxl</dc:creator>
  <dc:description/>
  <dc:language>en-US</dc:language>
  <cp:lastModifiedBy/>
  <dcterms:modified xsi:type="dcterms:W3CDTF">2026-10-24T14:04:45Z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